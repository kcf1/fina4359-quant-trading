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ate1904="1"/>
  <mc:AlternateContent xmlns:mc="http://schemas.openxmlformats.org/markup-compatibility/2006">
    <mc:Choice Requires="x15">
      <x15ac:absPath xmlns:x15ac="http://schemas.microsoft.com/office/spreadsheetml/2010/11/ac" url="C:\Users\owner\OneDrive - connect.hku.hk\桌面\reading materials\Year5\FINA4359\HW\"/>
    </mc:Choice>
  </mc:AlternateContent>
  <xr:revisionPtr revIDLastSave="0" documentId="13_ncr:1_{5B94160E-8DC1-460B-AFDA-A602BFF84168}" xr6:coauthVersionLast="47" xr6:coauthVersionMax="47" xr10:uidLastSave="{00000000-0000-0000-0000-000000000000}"/>
  <bookViews>
    <workbookView xWindow="-98" yWindow="-98" windowWidth="19396" windowHeight="11475" activeTab="1" xr2:uid="{00000000-000D-0000-FFFF-FFFF00000000}"/>
  </bookViews>
  <sheets>
    <sheet name="Explanations and FAQ" sheetId="17" r:id="rId1"/>
    <sheet name="Returns by year" sheetId="1" r:id="rId2"/>
    <sheet name="S&amp;P 500" sheetId="23" r:id="rId3"/>
    <sheet name="S&amp;P 500 &amp; Raw Data" sheetId="2" r:id="rId4"/>
    <sheet name="Small Cap" sheetId="22" r:id="rId5"/>
    <sheet name="T Bond Rate historical chart" sheetId="24" r:id="rId6"/>
    <sheet name="T. Bond yield &amp; return" sheetId="4" r:id="rId7"/>
    <sheet name="T. Bill rates" sheetId="3" r:id="rId8"/>
    <sheet name="Inflation Rate" sheetId="7" r:id="rId9"/>
    <sheet name="Summary for ppt" sheetId="5" r:id="rId10"/>
    <sheet name="Home Prices (Raw Data)" sheetId="6" r:id="rId11"/>
    <sheet name="Moody's Rates" sheetId="8" r:id="rId12"/>
    <sheet name="Home Prices" sheetId="18" r:id="rId13"/>
    <sheet name="Gold Prices" sheetId="9" r:id="rId14"/>
    <sheet name="Return Chart" sheetId="19" r:id="rId15"/>
    <sheet name="NominalvsReal" sheetId="20" r:id="rId16"/>
    <sheet name="NominalvsRealValue" sheetId="21" r:id="rId17"/>
    <sheet name="Nominal vs Real Data" sheetId="10" r:id="rId18"/>
    <sheet name="Sheet11" sheetId="11" r:id="rId19"/>
    <sheet name="Sheet12" sheetId="12" r:id="rId20"/>
    <sheet name="Sheet13" sheetId="13" r:id="rId21"/>
    <sheet name="Sheet14" sheetId="14" r:id="rId22"/>
    <sheet name="Sheet15" sheetId="15" r:id="rId23"/>
    <sheet name="Sheet16" sheetId="16" r:id="rId24"/>
  </sheets>
  <definedNames>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9" iterate="1" iterateDelta="9.8999999999999999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2" l="1"/>
  <c r="D101" i="2" s="1"/>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A99" i="10"/>
  <c r="I99" i="10" s="1"/>
  <c r="A98" i="10"/>
  <c r="I98" i="10" s="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3" i="3"/>
  <c r="D100" i="1"/>
  <c r="C99" i="10" s="1"/>
  <c r="C103" i="3"/>
  <c r="H100" i="1"/>
  <c r="B99" i="22"/>
  <c r="B100" i="1"/>
  <c r="H48" i="6"/>
  <c r="H47" i="6"/>
  <c r="H46" i="6"/>
  <c r="H45" i="6"/>
  <c r="H44" i="6"/>
  <c r="H43" i="6"/>
  <c r="K101" i="2"/>
  <c r="C145" i="6"/>
  <c r="J101" i="2"/>
  <c r="H101" i="2"/>
  <c r="I101" i="2"/>
  <c r="G101" i="2"/>
  <c r="C118" i="8"/>
  <c r="I13" i="8"/>
  <c r="I14" i="8" s="1"/>
  <c r="I15" i="8" s="1"/>
  <c r="I16" i="8" s="1"/>
  <c r="I17" i="8" s="1"/>
  <c r="I18" i="8" s="1"/>
  <c r="I19" i="8" s="1"/>
  <c r="I20" i="8" s="1"/>
  <c r="I21" i="8" s="1"/>
  <c r="I22" i="8" s="1"/>
  <c r="I23" i="8" s="1"/>
  <c r="I24" i="8" s="1"/>
  <c r="I25" i="8" s="1"/>
  <c r="I26" i="8" s="1"/>
  <c r="I27" i="8" s="1"/>
  <c r="I28" i="8" s="1"/>
  <c r="I29" i="8" s="1"/>
  <c r="I30" i="8" s="1"/>
  <c r="I31" i="8" s="1"/>
  <c r="I32" i="8" s="1"/>
  <c r="I33" i="8" s="1"/>
  <c r="I34" i="8" s="1"/>
  <c r="I35" i="8" s="1"/>
  <c r="I36" i="8" s="1"/>
  <c r="I37" i="8" s="1"/>
  <c r="I38" i="8" s="1"/>
  <c r="I39" i="8" s="1"/>
  <c r="I40" i="8" s="1"/>
  <c r="I41" i="8" s="1"/>
  <c r="I42" i="8" s="1"/>
  <c r="I43" i="8" s="1"/>
  <c r="I44" i="8" s="1"/>
  <c r="I45" i="8" s="1"/>
  <c r="I46" i="8" s="1"/>
  <c r="I47" i="8" s="1"/>
  <c r="I48" i="8" s="1"/>
  <c r="I49" i="8" s="1"/>
  <c r="I50" i="8" s="1"/>
  <c r="I51" i="8" s="1"/>
  <c r="I52" i="8" s="1"/>
  <c r="I53" i="8" s="1"/>
  <c r="I54" i="8" s="1"/>
  <c r="I55" i="8" s="1"/>
  <c r="I56" i="8" s="1"/>
  <c r="I57" i="8" s="1"/>
  <c r="I58" i="8" s="1"/>
  <c r="I59" i="8" s="1"/>
  <c r="I60" i="8" s="1"/>
  <c r="I61" i="8" s="1"/>
  <c r="I62" i="8" s="1"/>
  <c r="I63" i="8" s="1"/>
  <c r="I64" i="8" s="1"/>
  <c r="I65" i="8" s="1"/>
  <c r="I66" i="8" s="1"/>
  <c r="I67" i="8" s="1"/>
  <c r="I68" i="8" s="1"/>
  <c r="I69" i="8" s="1"/>
  <c r="I70" i="8" s="1"/>
  <c r="I71" i="8" s="1"/>
  <c r="I72" i="8" s="1"/>
  <c r="I73" i="8" s="1"/>
  <c r="I74" i="8" s="1"/>
  <c r="I75" i="8" s="1"/>
  <c r="I76" i="8" s="1"/>
  <c r="I77" i="8" s="1"/>
  <c r="I78" i="8" s="1"/>
  <c r="I79" i="8" s="1"/>
  <c r="I80" i="8" s="1"/>
  <c r="I81" i="8" s="1"/>
  <c r="I82" i="8" s="1"/>
  <c r="I83" i="8" s="1"/>
  <c r="I84" i="8" s="1"/>
  <c r="I85" i="8" s="1"/>
  <c r="I86" i="8" s="1"/>
  <c r="I87" i="8" s="1"/>
  <c r="I88" i="8" s="1"/>
  <c r="I89" i="8" s="1"/>
  <c r="I90" i="8" s="1"/>
  <c r="I91" i="8" s="1"/>
  <c r="I92" i="8" s="1"/>
  <c r="I93" i="8" s="1"/>
  <c r="I94" i="8" s="1"/>
  <c r="I95" i="8" s="1"/>
  <c r="I96" i="8" s="1"/>
  <c r="I97" i="8" s="1"/>
  <c r="I98" i="8" s="1"/>
  <c r="I99" i="8" s="1"/>
  <c r="I100" i="8" s="1"/>
  <c r="I101" i="8" s="1"/>
  <c r="I102" i="8" s="1"/>
  <c r="I103" i="8" s="1"/>
  <c r="I104" i="8" s="1"/>
  <c r="I105" i="8" s="1"/>
  <c r="I106" i="8" s="1"/>
  <c r="I107" i="8" s="1"/>
  <c r="I108" i="8" s="1"/>
  <c r="I109" i="8" s="1"/>
  <c r="I110" i="8" s="1"/>
  <c r="I111" i="8" s="1"/>
  <c r="I112" i="8" s="1"/>
  <c r="I113" i="8" s="1"/>
  <c r="I114" i="8" s="1"/>
  <c r="I115" i="8" s="1"/>
  <c r="I116" i="8" s="1"/>
  <c r="I117" i="8" s="1"/>
  <c r="I118" i="8" s="1"/>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118" i="8"/>
  <c r="A13" i="8"/>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C106" i="4"/>
  <c r="F101" i="2" s="1"/>
  <c r="E100" i="1" s="1"/>
  <c r="E99" i="10"/>
  <c r="C123" i="7"/>
  <c r="C100" i="1"/>
  <c r="F100" i="1"/>
  <c r="G100" i="1"/>
  <c r="C144" i="6"/>
  <c r="K100" i="2" s="1"/>
  <c r="C143" i="6"/>
  <c r="K99" i="2" s="1"/>
  <c r="I100" i="2"/>
  <c r="C117" i="8"/>
  <c r="G100" i="2" s="1"/>
  <c r="B98" i="22"/>
  <c r="H99" i="1"/>
  <c r="C122" i="7"/>
  <c r="E98" i="10" s="1"/>
  <c r="B99" i="1"/>
  <c r="B98" i="10" s="1"/>
  <c r="J98" i="10" s="1"/>
  <c r="C102" i="3"/>
  <c r="D99" i="1" s="1"/>
  <c r="C98" i="10" s="1"/>
  <c r="L100" i="1" l="1"/>
  <c r="G99" i="10"/>
  <c r="B99" i="10"/>
  <c r="J99" i="10" s="1"/>
  <c r="I100" i="1"/>
  <c r="J100" i="1"/>
  <c r="D99" i="10"/>
  <c r="K100" i="1"/>
  <c r="I99" i="1"/>
  <c r="C105" i="4"/>
  <c r="F100" i="2" s="1"/>
  <c r="E99" i="1" s="1"/>
  <c r="J99" i="1" l="1"/>
  <c r="D98" i="10"/>
  <c r="F99" i="10"/>
  <c r="H99" i="10"/>
  <c r="C99" i="1"/>
  <c r="K99" i="1" s="1"/>
  <c r="G99" i="1"/>
  <c r="F98" i="10"/>
  <c r="G98" i="10"/>
  <c r="H98" i="10"/>
  <c r="B97" i="22"/>
  <c r="C98" i="1" s="1"/>
  <c r="B96" i="22"/>
  <c r="C97" i="1" s="1"/>
  <c r="B95" i="22"/>
  <c r="C96" i="1" s="1"/>
  <c r="B94" i="22"/>
  <c r="C95" i="1" s="1"/>
  <c r="B93" i="22"/>
  <c r="C94" i="1" s="1"/>
  <c r="B92" i="22"/>
  <c r="B91" i="22"/>
  <c r="C92" i="1" s="1"/>
  <c r="B90" i="22"/>
  <c r="C91" i="1" s="1"/>
  <c r="B89" i="22"/>
  <c r="C90" i="1" s="1"/>
  <c r="B88" i="22"/>
  <c r="C89" i="1" s="1"/>
  <c r="B87" i="22"/>
  <c r="C88" i="1" s="1"/>
  <c r="B86" i="22"/>
  <c r="C87" i="1" s="1"/>
  <c r="B85" i="22"/>
  <c r="C86" i="1" s="1"/>
  <c r="B84" i="22"/>
  <c r="C85" i="1" s="1"/>
  <c r="B83" i="22"/>
  <c r="C84" i="1" s="1"/>
  <c r="B82" i="22"/>
  <c r="C83" i="1" s="1"/>
  <c r="B81" i="22"/>
  <c r="C82" i="1" s="1"/>
  <c r="B80" i="22"/>
  <c r="B79" i="22"/>
  <c r="C80" i="1" s="1"/>
  <c r="B78" i="22"/>
  <c r="C79" i="1" s="1"/>
  <c r="B77" i="22"/>
  <c r="C78" i="1" s="1"/>
  <c r="B76" i="22"/>
  <c r="C77" i="1" s="1"/>
  <c r="B75" i="22"/>
  <c r="C76" i="1" s="1"/>
  <c r="B74" i="22"/>
  <c r="C75" i="1" s="1"/>
  <c r="B73" i="22"/>
  <c r="C74" i="1" s="1"/>
  <c r="B72" i="22"/>
  <c r="C73" i="1" s="1"/>
  <c r="B71" i="22"/>
  <c r="C72" i="1" s="1"/>
  <c r="B70" i="22"/>
  <c r="C71" i="1" s="1"/>
  <c r="B69" i="22"/>
  <c r="C70" i="1" s="1"/>
  <c r="B68" i="22"/>
  <c r="B67" i="22"/>
  <c r="C68" i="1" s="1"/>
  <c r="B66" i="22"/>
  <c r="C67" i="1" s="1"/>
  <c r="B65" i="22"/>
  <c r="C66" i="1" s="1"/>
  <c r="B64" i="22"/>
  <c r="C65" i="1" s="1"/>
  <c r="B63" i="22"/>
  <c r="C64" i="1" s="1"/>
  <c r="B62" i="22"/>
  <c r="C63" i="1" s="1"/>
  <c r="B61" i="22"/>
  <c r="C62" i="1" s="1"/>
  <c r="B60" i="22"/>
  <c r="C61" i="1" s="1"/>
  <c r="B59" i="22"/>
  <c r="C60" i="1" s="1"/>
  <c r="B58" i="22"/>
  <c r="C59" i="1" s="1"/>
  <c r="B57" i="22"/>
  <c r="C58" i="1" s="1"/>
  <c r="B56" i="22"/>
  <c r="B55" i="22"/>
  <c r="C56" i="1" s="1"/>
  <c r="B54" i="22"/>
  <c r="C55" i="1" s="1"/>
  <c r="B53" i="22"/>
  <c r="C54" i="1" s="1"/>
  <c r="B52" i="22"/>
  <c r="C53" i="1" s="1"/>
  <c r="B51" i="22"/>
  <c r="C52" i="1" s="1"/>
  <c r="B50" i="22"/>
  <c r="C51" i="1" s="1"/>
  <c r="B49" i="22"/>
  <c r="C50" i="1" s="1"/>
  <c r="B48" i="22"/>
  <c r="C49" i="1" s="1"/>
  <c r="B47" i="22"/>
  <c r="C48" i="1" s="1"/>
  <c r="B46" i="22"/>
  <c r="C47" i="1" s="1"/>
  <c r="B45" i="22"/>
  <c r="C46" i="1" s="1"/>
  <c r="B44" i="22"/>
  <c r="B43" i="22"/>
  <c r="C44" i="1" s="1"/>
  <c r="B42" i="22"/>
  <c r="C43" i="1" s="1"/>
  <c r="B41" i="22"/>
  <c r="C42" i="1" s="1"/>
  <c r="B40" i="22"/>
  <c r="C41" i="1" s="1"/>
  <c r="B39" i="22"/>
  <c r="C40" i="1" s="1"/>
  <c r="B38" i="22"/>
  <c r="C39" i="1" s="1"/>
  <c r="B37" i="22"/>
  <c r="C38" i="1" s="1"/>
  <c r="B36" i="22"/>
  <c r="C37" i="1" s="1"/>
  <c r="B35" i="22"/>
  <c r="C36" i="1" s="1"/>
  <c r="B34" i="22"/>
  <c r="C35" i="1" s="1"/>
  <c r="B33" i="22"/>
  <c r="C34" i="1" s="1"/>
  <c r="B32" i="22"/>
  <c r="B31" i="22"/>
  <c r="C32" i="1" s="1"/>
  <c r="B30" i="22"/>
  <c r="C31" i="1" s="1"/>
  <c r="B29" i="22"/>
  <c r="C30" i="1" s="1"/>
  <c r="B28" i="22"/>
  <c r="C29" i="1" s="1"/>
  <c r="B27" i="22"/>
  <c r="C28" i="1" s="1"/>
  <c r="B26" i="22"/>
  <c r="C27" i="1" s="1"/>
  <c r="B25" i="22"/>
  <c r="C26" i="1" s="1"/>
  <c r="B24" i="22"/>
  <c r="C25" i="1" s="1"/>
  <c r="B23" i="22"/>
  <c r="C24" i="1" s="1"/>
  <c r="B22" i="22"/>
  <c r="C23" i="1" s="1"/>
  <c r="B21" i="22"/>
  <c r="C22" i="1" s="1"/>
  <c r="B20" i="22"/>
  <c r="B19" i="22"/>
  <c r="C20" i="1" s="1"/>
  <c r="B18" i="22"/>
  <c r="C19" i="1" s="1"/>
  <c r="B17" i="22"/>
  <c r="C18" i="1" s="1"/>
  <c r="B16" i="22"/>
  <c r="C17" i="1" s="1"/>
  <c r="B15" i="22"/>
  <c r="C16" i="1" s="1"/>
  <c r="B14" i="22"/>
  <c r="C15" i="1" s="1"/>
  <c r="B13" i="22"/>
  <c r="C14" i="1" s="1"/>
  <c r="B12" i="22"/>
  <c r="C13" i="1" s="1"/>
  <c r="B11" i="22"/>
  <c r="C12" i="1" s="1"/>
  <c r="B10" i="22"/>
  <c r="C11" i="1" s="1"/>
  <c r="B9" i="22"/>
  <c r="C10" i="1" s="1"/>
  <c r="B8" i="22"/>
  <c r="B7" i="22"/>
  <c r="C8" i="1" s="1"/>
  <c r="B6" i="22"/>
  <c r="C7" i="1" s="1"/>
  <c r="B5" i="22"/>
  <c r="C6" i="1" s="1"/>
  <c r="B4" i="22"/>
  <c r="C5" i="1" s="1"/>
  <c r="B3" i="22"/>
  <c r="C4" i="1" s="1"/>
  <c r="B2" i="22"/>
  <c r="C3" i="1" s="1"/>
  <c r="C9" i="1"/>
  <c r="C21" i="1"/>
  <c r="C33" i="1"/>
  <c r="C45" i="1"/>
  <c r="C57" i="1"/>
  <c r="C69" i="1"/>
  <c r="C81" i="1"/>
  <c r="C93" i="1"/>
  <c r="A3" i="22"/>
  <c r="A4" i="22" s="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J2" i="10"/>
  <c r="J3" i="10" s="1"/>
  <c r="J4" i="10" s="1"/>
  <c r="J5" i="10" s="1"/>
  <c r="J6" i="10" s="1"/>
  <c r="J7" i="10" s="1"/>
  <c r="J8" i="10" s="1"/>
  <c r="J9" i="10" s="1"/>
  <c r="J10" i="10" s="1"/>
  <c r="J11" i="10" s="1"/>
  <c r="J12" i="10" s="1"/>
  <c r="J13" i="10" s="1"/>
  <c r="J14" i="10" s="1"/>
  <c r="J15" i="10" s="1"/>
  <c r="J16" i="10" s="1"/>
  <c r="J17" i="10" s="1"/>
  <c r="J18" i="10" s="1"/>
  <c r="J19" i="10" s="1"/>
  <c r="J20" i="10" s="1"/>
  <c r="J21" i="10" s="1"/>
  <c r="J22" i="10" s="1"/>
  <c r="J23" i="10" s="1"/>
  <c r="J24" i="10" s="1"/>
  <c r="J25" i="10" s="1"/>
  <c r="J26" i="10" s="1"/>
  <c r="J27" i="10" s="1"/>
  <c r="J28" i="10" s="1"/>
  <c r="J29" i="10" s="1"/>
  <c r="J30" i="10" s="1"/>
  <c r="J31" i="10" s="1"/>
  <c r="J32" i="10" s="1"/>
  <c r="J33" i="10" s="1"/>
  <c r="J34" i="10" s="1"/>
  <c r="J35" i="10" s="1"/>
  <c r="J36" i="10" s="1"/>
  <c r="J37" i="10" s="1"/>
  <c r="J38" i="10" s="1"/>
  <c r="J39" i="10" s="1"/>
  <c r="J40" i="10" s="1"/>
  <c r="J41" i="10" s="1"/>
  <c r="J42" i="10" s="1"/>
  <c r="J43" i="10" s="1"/>
  <c r="J44" i="10" s="1"/>
  <c r="J45" i="10" s="1"/>
  <c r="J46" i="10" s="1"/>
  <c r="J47" i="10" s="1"/>
  <c r="J48" i="10" s="1"/>
  <c r="J49" i="10" s="1"/>
  <c r="J50" i="10" s="1"/>
  <c r="J51" i="10" s="1"/>
  <c r="J52" i="10" s="1"/>
  <c r="J53" i="10" s="1"/>
  <c r="J54" i="10" s="1"/>
  <c r="J55" i="10" s="1"/>
  <c r="J56" i="10" s="1"/>
  <c r="J57" i="10" s="1"/>
  <c r="J58" i="10" s="1"/>
  <c r="J59" i="10" s="1"/>
  <c r="J60" i="10" s="1"/>
  <c r="J61" i="10" s="1"/>
  <c r="J62" i="10" s="1"/>
  <c r="J63" i="10" s="1"/>
  <c r="J64" i="10" s="1"/>
  <c r="J65" i="10" s="1"/>
  <c r="J66" i="10" s="1"/>
  <c r="J67" i="10" s="1"/>
  <c r="J68" i="10" s="1"/>
  <c r="J69" i="10" s="1"/>
  <c r="J70" i="10" s="1"/>
  <c r="J71" i="10" s="1"/>
  <c r="J72" i="10" s="1"/>
  <c r="J73" i="10" s="1"/>
  <c r="J74" i="10" s="1"/>
  <c r="J75" i="10" s="1"/>
  <c r="J76" i="10" s="1"/>
  <c r="J77" i="10" s="1"/>
  <c r="J78" i="10" s="1"/>
  <c r="J79" i="10" s="1"/>
  <c r="J80" i="10" s="1"/>
  <c r="J81" i="10" s="1"/>
  <c r="J82" i="10" s="1"/>
  <c r="J83" i="10" s="1"/>
  <c r="J84" i="10" s="1"/>
  <c r="J85" i="10" s="1"/>
  <c r="J86" i="10" s="1"/>
  <c r="J87" i="10" s="1"/>
  <c r="J88" i="10" s="1"/>
  <c r="J89" i="10" s="1"/>
  <c r="J90" i="10" s="1"/>
  <c r="J91" i="10" s="1"/>
  <c r="J92" i="10" s="1"/>
  <c r="J93" i="10" s="1"/>
  <c r="J94" i="10" s="1"/>
  <c r="J95" i="10" s="1"/>
  <c r="J96" i="10" s="1"/>
  <c r="J97" i="10" s="1"/>
  <c r="K2" i="10"/>
  <c r="K3" i="10" s="1"/>
  <c r="K4" i="10" s="1"/>
  <c r="K5" i="10" s="1"/>
  <c r="K6" i="10" s="1"/>
  <c r="K7" i="10" s="1"/>
  <c r="K8" i="10" s="1"/>
  <c r="K9" i="10" s="1"/>
  <c r="K10" i="10" s="1"/>
  <c r="K11" i="10" s="1"/>
  <c r="K12" i="10" s="1"/>
  <c r="K13" i="10" s="1"/>
  <c r="K14" i="10" s="1"/>
  <c r="K15" i="10" s="1"/>
  <c r="K16" i="10" s="1"/>
  <c r="K17" i="10" s="1"/>
  <c r="K18" i="10" s="1"/>
  <c r="K19" i="10" s="1"/>
  <c r="K20" i="10" s="1"/>
  <c r="K21" i="10" s="1"/>
  <c r="K22" i="10" s="1"/>
  <c r="K23" i="10" s="1"/>
  <c r="K24" i="10" s="1"/>
  <c r="K25" i="10" s="1"/>
  <c r="K26" i="10" s="1"/>
  <c r="K27" i="10" s="1"/>
  <c r="K28" i="10" s="1"/>
  <c r="K29" i="10" s="1"/>
  <c r="K30" i="10" s="1"/>
  <c r="K31" i="10" s="1"/>
  <c r="K32" i="10" s="1"/>
  <c r="K33" i="10" s="1"/>
  <c r="K34" i="10" s="1"/>
  <c r="K35" i="10" s="1"/>
  <c r="K36" i="10" s="1"/>
  <c r="K37" i="10" s="1"/>
  <c r="K38" i="10" s="1"/>
  <c r="K39" i="10" s="1"/>
  <c r="K40" i="10" s="1"/>
  <c r="K41" i="10" s="1"/>
  <c r="K42" i="10" s="1"/>
  <c r="K43" i="10" s="1"/>
  <c r="K44" i="10" s="1"/>
  <c r="K45" i="10" s="1"/>
  <c r="K46" i="10" s="1"/>
  <c r="K47" i="10" s="1"/>
  <c r="K48" i="10" s="1"/>
  <c r="K49" i="10" s="1"/>
  <c r="K50" i="10" s="1"/>
  <c r="K51" i="10" s="1"/>
  <c r="K52" i="10" s="1"/>
  <c r="K53" i="10" s="1"/>
  <c r="K54" i="10" s="1"/>
  <c r="K55" i="10" s="1"/>
  <c r="K56" i="10" s="1"/>
  <c r="K57" i="10" s="1"/>
  <c r="K58" i="10" s="1"/>
  <c r="K59" i="10" s="1"/>
  <c r="K60" i="10" s="1"/>
  <c r="K61" i="10" s="1"/>
  <c r="K62" i="10" s="1"/>
  <c r="K63" i="10" s="1"/>
  <c r="K64" i="10" s="1"/>
  <c r="K65" i="10" s="1"/>
  <c r="K66" i="10" s="1"/>
  <c r="K67" i="10" s="1"/>
  <c r="K68" i="10" s="1"/>
  <c r="K69" i="10" s="1"/>
  <c r="K70" i="10" s="1"/>
  <c r="K71" i="10" s="1"/>
  <c r="K72" i="10" s="1"/>
  <c r="K73" i="10" s="1"/>
  <c r="K74" i="10" s="1"/>
  <c r="K75" i="10" s="1"/>
  <c r="K76" i="10" s="1"/>
  <c r="K77" i="10" s="1"/>
  <c r="K78" i="10" s="1"/>
  <c r="K79" i="10" s="1"/>
  <c r="K80" i="10" s="1"/>
  <c r="K81" i="10" s="1"/>
  <c r="K82" i="10" s="1"/>
  <c r="K83" i="10" s="1"/>
  <c r="K84" i="10" s="1"/>
  <c r="K85" i="10" s="1"/>
  <c r="K86" i="10" s="1"/>
  <c r="K87" i="10" s="1"/>
  <c r="K88" i="10" s="1"/>
  <c r="K89" i="10" s="1"/>
  <c r="K90" i="10" s="1"/>
  <c r="K91" i="10" s="1"/>
  <c r="K92" i="10" s="1"/>
  <c r="K93" i="10" s="1"/>
  <c r="K94" i="10" s="1"/>
  <c r="K95" i="10" s="1"/>
  <c r="K96" i="10" s="1"/>
  <c r="P10" i="10"/>
  <c r="K97" i="10" l="1"/>
  <c r="K98" i="10" s="1"/>
  <c r="K99" i="10" s="1"/>
  <c r="H98" i="1"/>
  <c r="C101" i="3"/>
  <c r="D98" i="1" s="1"/>
  <c r="B98" i="1"/>
  <c r="K98" i="1" s="1"/>
  <c r="I98" i="1" l="1"/>
  <c r="C104" i="4"/>
  <c r="F99" i="2" s="1"/>
  <c r="E98" i="1" s="1"/>
  <c r="J98" i="1" s="1"/>
  <c r="C120" i="7" l="1"/>
  <c r="C119" i="7"/>
  <c r="C118" i="7"/>
  <c r="C117" i="7"/>
  <c r="C116" i="7"/>
  <c r="C115" i="7"/>
  <c r="C114" i="7"/>
  <c r="C113" i="7"/>
  <c r="C112" i="7"/>
  <c r="C121" i="7"/>
  <c r="G98" i="1" l="1"/>
  <c r="C115" i="8"/>
  <c r="G98" i="2" s="1"/>
  <c r="C114" i="8"/>
  <c r="G97" i="2" s="1"/>
  <c r="C113" i="8"/>
  <c r="G96" i="2" s="1"/>
  <c r="C116" i="8"/>
  <c r="G99" i="2" s="1"/>
  <c r="H100" i="2" s="1"/>
  <c r="I98" i="2"/>
  <c r="J99" i="2" s="1"/>
  <c r="F98" i="1" s="1"/>
  <c r="I97" i="2"/>
  <c r="I96" i="2"/>
  <c r="I99" i="2"/>
  <c r="J100" i="2" s="1"/>
  <c r="F99" i="1" s="1"/>
  <c r="C100" i="3"/>
  <c r="D97" i="1" s="1"/>
  <c r="C99" i="3"/>
  <c r="D96" i="1" s="1"/>
  <c r="H97" i="1"/>
  <c r="B97" i="1"/>
  <c r="K97" i="1" s="1"/>
  <c r="C142" i="6"/>
  <c r="K98" i="2" s="1"/>
  <c r="C103" i="4"/>
  <c r="F98" i="2" s="1"/>
  <c r="E97" i="1" s="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A4" i="9"/>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7" i="9"/>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G97" i="1"/>
  <c r="A14" i="7"/>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B96" i="1"/>
  <c r="K96" i="1" s="1"/>
  <c r="G96" i="1"/>
  <c r="C141" i="6"/>
  <c r="K97" i="2" s="1"/>
  <c r="C140" i="6"/>
  <c r="K96" i="2" s="1"/>
  <c r="C102" i="4"/>
  <c r="F97" i="2" s="1"/>
  <c r="E96"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A29" i="18"/>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B95" i="1"/>
  <c r="K95" i="1" s="1"/>
  <c r="C101" i="4"/>
  <c r="F96" i="2" s="1"/>
  <c r="E95" i="1" s="1"/>
  <c r="C139" i="6"/>
  <c r="K95" i="2" s="1"/>
  <c r="A124" i="6"/>
  <c r="A125" i="6" s="1"/>
  <c r="A126" i="6" s="1"/>
  <c r="A127" i="6" s="1"/>
  <c r="A128" i="6" s="1"/>
  <c r="A129" i="6" s="1"/>
  <c r="A130" i="6" s="1"/>
  <c r="A131" i="6" s="1"/>
  <c r="A132" i="6" s="1"/>
  <c r="A133" i="6" s="1"/>
  <c r="A134" i="6" s="1"/>
  <c r="A135" i="6" s="1"/>
  <c r="A136" i="6" s="1"/>
  <c r="A137" i="6" s="1"/>
  <c r="A138" i="6" s="1"/>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K78" i="8"/>
  <c r="I61" i="2" s="1"/>
  <c r="K77" i="8"/>
  <c r="I60" i="2" s="1"/>
  <c r="K76" i="8"/>
  <c r="I59" i="2" s="1"/>
  <c r="K75" i="8"/>
  <c r="I58" i="2" s="1"/>
  <c r="K74" i="8"/>
  <c r="I57" i="2" s="1"/>
  <c r="K73" i="8"/>
  <c r="I56" i="2" s="1"/>
  <c r="K72" i="8"/>
  <c r="I55" i="2" s="1"/>
  <c r="K71" i="8"/>
  <c r="I54" i="2" s="1"/>
  <c r="K70" i="8"/>
  <c r="I53" i="2" s="1"/>
  <c r="K69" i="8"/>
  <c r="I52" i="2" s="1"/>
  <c r="K68" i="8"/>
  <c r="I51" i="2" s="1"/>
  <c r="K67" i="8"/>
  <c r="I50" i="2" s="1"/>
  <c r="K66" i="8"/>
  <c r="I49" i="2" s="1"/>
  <c r="K65" i="8"/>
  <c r="I48" i="2" s="1"/>
  <c r="K64" i="8"/>
  <c r="I47" i="2" s="1"/>
  <c r="K63" i="8"/>
  <c r="I46" i="2" s="1"/>
  <c r="K62" i="8"/>
  <c r="I45" i="2" s="1"/>
  <c r="K61" i="8"/>
  <c r="I44" i="2" s="1"/>
  <c r="K60" i="8"/>
  <c r="I43" i="2" s="1"/>
  <c r="K59" i="8"/>
  <c r="I42" i="2" s="1"/>
  <c r="K58" i="8"/>
  <c r="I41" i="2" s="1"/>
  <c r="K57" i="8"/>
  <c r="I40" i="2" s="1"/>
  <c r="K56" i="8"/>
  <c r="I39" i="2" s="1"/>
  <c r="K55" i="8"/>
  <c r="I38" i="2" s="1"/>
  <c r="K54" i="8"/>
  <c r="I37" i="2" s="1"/>
  <c r="K53" i="8"/>
  <c r="I36" i="2" s="1"/>
  <c r="K52" i="8"/>
  <c r="I35" i="2" s="1"/>
  <c r="K51" i="8"/>
  <c r="I34" i="2" s="1"/>
  <c r="K50" i="8"/>
  <c r="I33" i="2" s="1"/>
  <c r="K49" i="8"/>
  <c r="I32" i="2" s="1"/>
  <c r="K48" i="8"/>
  <c r="I31" i="2" s="1"/>
  <c r="K47" i="8"/>
  <c r="I30" i="2" s="1"/>
  <c r="K46" i="8"/>
  <c r="I29" i="2" s="1"/>
  <c r="K45" i="8"/>
  <c r="I28" i="2" s="1"/>
  <c r="K44" i="8"/>
  <c r="I27" i="2" s="1"/>
  <c r="K43" i="8"/>
  <c r="I26" i="2" s="1"/>
  <c r="K42" i="8"/>
  <c r="I25" i="2" s="1"/>
  <c r="K41" i="8"/>
  <c r="I24" i="2" s="1"/>
  <c r="K40" i="8"/>
  <c r="I23" i="2" s="1"/>
  <c r="K39" i="8"/>
  <c r="I22" i="2" s="1"/>
  <c r="K38" i="8"/>
  <c r="I21" i="2" s="1"/>
  <c r="K37" i="8"/>
  <c r="I20" i="2" s="1"/>
  <c r="K36" i="8"/>
  <c r="I19" i="2" s="1"/>
  <c r="K35" i="8"/>
  <c r="I18" i="2" s="1"/>
  <c r="K34" i="8"/>
  <c r="I17" i="2" s="1"/>
  <c r="K33" i="8"/>
  <c r="I16" i="2" s="1"/>
  <c r="K32" i="8"/>
  <c r="I15" i="2" s="1"/>
  <c r="K31" i="8"/>
  <c r="I14" i="2" s="1"/>
  <c r="K30" i="8"/>
  <c r="I13" i="2" s="1"/>
  <c r="K29" i="8"/>
  <c r="I12" i="2" s="1"/>
  <c r="K28" i="8"/>
  <c r="I11" i="2" s="1"/>
  <c r="K27" i="8"/>
  <c r="I10" i="2" s="1"/>
  <c r="K26" i="8"/>
  <c r="I9" i="2" s="1"/>
  <c r="K25" i="8"/>
  <c r="I8" i="2" s="1"/>
  <c r="K24" i="8"/>
  <c r="I7" i="2" s="1"/>
  <c r="K23" i="8"/>
  <c r="I6" i="2" s="1"/>
  <c r="K22" i="8"/>
  <c r="I5" i="2" s="1"/>
  <c r="K21" i="8"/>
  <c r="I4" i="2" s="1"/>
  <c r="K20" i="8"/>
  <c r="I3" i="2" s="1"/>
  <c r="K19" i="8"/>
  <c r="K18" i="8"/>
  <c r="K17" i="8"/>
  <c r="K16" i="8"/>
  <c r="K15" i="8"/>
  <c r="K14" i="8"/>
  <c r="K13" i="8"/>
  <c r="K12" i="8"/>
  <c r="C112" i="8"/>
  <c r="C111" i="8"/>
  <c r="G94" i="2" s="1"/>
  <c r="C110" i="8"/>
  <c r="G93" i="2" s="1"/>
  <c r="C109" i="8"/>
  <c r="G92" i="2" s="1"/>
  <c r="C108" i="8"/>
  <c r="G91" i="2" s="1"/>
  <c r="C107" i="8"/>
  <c r="G90" i="2" s="1"/>
  <c r="C106" i="8"/>
  <c r="G89" i="2" s="1"/>
  <c r="C105" i="8"/>
  <c r="G88" i="2" s="1"/>
  <c r="C104" i="8"/>
  <c r="G87" i="2" s="1"/>
  <c r="C103" i="8"/>
  <c r="G86" i="2" s="1"/>
  <c r="C102" i="8"/>
  <c r="G85" i="2" s="1"/>
  <c r="C101" i="8"/>
  <c r="G84" i="2" s="1"/>
  <c r="C100" i="8"/>
  <c r="G83" i="2" s="1"/>
  <c r="C99" i="8"/>
  <c r="G82" i="2" s="1"/>
  <c r="C98" i="8"/>
  <c r="G81" i="2" s="1"/>
  <c r="C97" i="8"/>
  <c r="G80" i="2" s="1"/>
  <c r="C96" i="8"/>
  <c r="G79" i="2" s="1"/>
  <c r="C95" i="8"/>
  <c r="G78" i="2" s="1"/>
  <c r="C94" i="8"/>
  <c r="G77" i="2" s="1"/>
  <c r="C93" i="8"/>
  <c r="G76" i="2" s="1"/>
  <c r="C92" i="8"/>
  <c r="G75" i="2" s="1"/>
  <c r="C91" i="8"/>
  <c r="G74" i="2" s="1"/>
  <c r="C90" i="8"/>
  <c r="G73" i="2" s="1"/>
  <c r="C89" i="8"/>
  <c r="G72" i="2" s="1"/>
  <c r="C88" i="8"/>
  <c r="G71" i="2" s="1"/>
  <c r="C87" i="8"/>
  <c r="G70" i="2" s="1"/>
  <c r="C86" i="8"/>
  <c r="G69" i="2" s="1"/>
  <c r="C85" i="8"/>
  <c r="G68" i="2" s="1"/>
  <c r="C84" i="8"/>
  <c r="G67" i="2" s="1"/>
  <c r="C83" i="8"/>
  <c r="G66" i="2" s="1"/>
  <c r="C82" i="8"/>
  <c r="G65" i="2" s="1"/>
  <c r="C81" i="8"/>
  <c r="G64" i="2" s="1"/>
  <c r="C80" i="8"/>
  <c r="G63" i="2" s="1"/>
  <c r="C79" i="8"/>
  <c r="G62" i="2" s="1"/>
  <c r="C78" i="8"/>
  <c r="G61" i="2" s="1"/>
  <c r="C77" i="8"/>
  <c r="G60" i="2" s="1"/>
  <c r="C76" i="8"/>
  <c r="G59" i="2" s="1"/>
  <c r="C75" i="8"/>
  <c r="G58" i="2" s="1"/>
  <c r="C74" i="8"/>
  <c r="G57" i="2" s="1"/>
  <c r="C73" i="8"/>
  <c r="G56" i="2" s="1"/>
  <c r="C72" i="8"/>
  <c r="G55" i="2" s="1"/>
  <c r="C71" i="8"/>
  <c r="G54" i="2" s="1"/>
  <c r="C70" i="8"/>
  <c r="G53" i="2" s="1"/>
  <c r="C69" i="8"/>
  <c r="G52" i="2" s="1"/>
  <c r="C68" i="8"/>
  <c r="G51" i="2" s="1"/>
  <c r="C67" i="8"/>
  <c r="G50" i="2" s="1"/>
  <c r="C66" i="8"/>
  <c r="G49" i="2" s="1"/>
  <c r="C65" i="8"/>
  <c r="G48" i="2" s="1"/>
  <c r="C64" i="8"/>
  <c r="G47" i="2" s="1"/>
  <c r="C63" i="8"/>
  <c r="G46" i="2" s="1"/>
  <c r="C62" i="8"/>
  <c r="G45" i="2" s="1"/>
  <c r="C61" i="8"/>
  <c r="G44" i="2" s="1"/>
  <c r="C60" i="8"/>
  <c r="G43" i="2" s="1"/>
  <c r="C59" i="8"/>
  <c r="G42" i="2" s="1"/>
  <c r="C58" i="8"/>
  <c r="G41" i="2" s="1"/>
  <c r="C57" i="8"/>
  <c r="G40" i="2" s="1"/>
  <c r="C56" i="8"/>
  <c r="G39" i="2" s="1"/>
  <c r="C55" i="8"/>
  <c r="G38" i="2" s="1"/>
  <c r="C54" i="8"/>
  <c r="G37" i="2" s="1"/>
  <c r="C53" i="8"/>
  <c r="G36" i="2" s="1"/>
  <c r="C52" i="8"/>
  <c r="G35" i="2" s="1"/>
  <c r="C51" i="8"/>
  <c r="G34" i="2" s="1"/>
  <c r="C50" i="8"/>
  <c r="G33" i="2" s="1"/>
  <c r="C49" i="8"/>
  <c r="G32" i="2" s="1"/>
  <c r="C48" i="8"/>
  <c r="G31" i="2" s="1"/>
  <c r="C47" i="8"/>
  <c r="G30" i="2" s="1"/>
  <c r="C46" i="8"/>
  <c r="G29" i="2" s="1"/>
  <c r="C45" i="8"/>
  <c r="G28" i="2" s="1"/>
  <c r="C44" i="8"/>
  <c r="G27" i="2" s="1"/>
  <c r="C43" i="8"/>
  <c r="G26" i="2" s="1"/>
  <c r="C42" i="8"/>
  <c r="G25" i="2" s="1"/>
  <c r="C41" i="8"/>
  <c r="G24" i="2" s="1"/>
  <c r="C40" i="8"/>
  <c r="G23" i="2" s="1"/>
  <c r="C39" i="8"/>
  <c r="G22" i="2" s="1"/>
  <c r="C38" i="8"/>
  <c r="G21" i="2" s="1"/>
  <c r="C37" i="8"/>
  <c r="G20" i="2" s="1"/>
  <c r="C36" i="8"/>
  <c r="G19" i="2" s="1"/>
  <c r="C35" i="8"/>
  <c r="G18" i="2" s="1"/>
  <c r="C34" i="8"/>
  <c r="G17" i="2" s="1"/>
  <c r="C33" i="8"/>
  <c r="G16" i="2" s="1"/>
  <c r="C32" i="8"/>
  <c r="G15" i="2" s="1"/>
  <c r="C31" i="8"/>
  <c r="G14" i="2" s="1"/>
  <c r="C30" i="8"/>
  <c r="G13" i="2" s="1"/>
  <c r="C29" i="8"/>
  <c r="G12" i="2" s="1"/>
  <c r="C28" i="8"/>
  <c r="G11" i="2" s="1"/>
  <c r="C27" i="8"/>
  <c r="G10" i="2" s="1"/>
  <c r="C26" i="8"/>
  <c r="G9" i="2" s="1"/>
  <c r="C25" i="8"/>
  <c r="G8" i="2" s="1"/>
  <c r="C24" i="8"/>
  <c r="G7" i="2" s="1"/>
  <c r="C23" i="8"/>
  <c r="G6" i="2" s="1"/>
  <c r="C22" i="8"/>
  <c r="G5" i="2" s="1"/>
  <c r="C21" i="8"/>
  <c r="G4" i="2" s="1"/>
  <c r="C20" i="8"/>
  <c r="G3" i="2" s="1"/>
  <c r="C19" i="8"/>
  <c r="C18" i="8"/>
  <c r="C17" i="8"/>
  <c r="C16" i="8"/>
  <c r="C15" i="8"/>
  <c r="C14" i="8"/>
  <c r="C13" i="8"/>
  <c r="C12" i="8"/>
  <c r="C98" i="3"/>
  <c r="D95" i="1" s="1"/>
  <c r="C97" i="3"/>
  <c r="D94" i="1" s="1"/>
  <c r="B94" i="1"/>
  <c r="K94" i="1" s="1"/>
  <c r="E94" i="2"/>
  <c r="C24" i="7"/>
  <c r="C23" i="7"/>
  <c r="C22" i="7"/>
  <c r="C21" i="7"/>
  <c r="C20" i="7"/>
  <c r="C19" i="7"/>
  <c r="C18" i="7"/>
  <c r="C17" i="7"/>
  <c r="C16" i="7"/>
  <c r="C15" i="7"/>
  <c r="C14" i="7"/>
  <c r="C13" i="7"/>
  <c r="C12" i="7"/>
  <c r="C100" i="4"/>
  <c r="F95" i="2" s="1"/>
  <c r="E94" i="1" s="1"/>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96" i="3"/>
  <c r="D93" i="1" s="1"/>
  <c r="C95" i="3"/>
  <c r="D92" i="1" s="1"/>
  <c r="C94" i="3"/>
  <c r="D91" i="1" s="1"/>
  <c r="C93" i="3"/>
  <c r="D90" i="1" s="1"/>
  <c r="C92" i="3"/>
  <c r="D89" i="1" s="1"/>
  <c r="C91" i="3"/>
  <c r="D88" i="1" s="1"/>
  <c r="C90" i="3"/>
  <c r="D87" i="1" s="1"/>
  <c r="C89" i="3"/>
  <c r="D86" i="1" s="1"/>
  <c r="C88" i="3"/>
  <c r="D85" i="1" s="1"/>
  <c r="C87" i="3"/>
  <c r="D84" i="1" s="1"/>
  <c r="C86" i="3"/>
  <c r="D83" i="1" s="1"/>
  <c r="C85" i="3"/>
  <c r="D82" i="1" s="1"/>
  <c r="C84" i="3"/>
  <c r="D81" i="1" s="1"/>
  <c r="C83" i="3"/>
  <c r="D80" i="1" s="1"/>
  <c r="C82" i="3"/>
  <c r="D79" i="1" s="1"/>
  <c r="C81" i="3"/>
  <c r="D78" i="1" s="1"/>
  <c r="C80" i="3"/>
  <c r="D77" i="1" s="1"/>
  <c r="C79" i="3"/>
  <c r="D76" i="1" s="1"/>
  <c r="C78" i="3"/>
  <c r="D75" i="1" s="1"/>
  <c r="C77" i="3"/>
  <c r="D74" i="1" s="1"/>
  <c r="C76" i="3"/>
  <c r="D73" i="1" s="1"/>
  <c r="C75" i="3"/>
  <c r="D72" i="1" s="1"/>
  <c r="C74" i="3"/>
  <c r="D71" i="1" s="1"/>
  <c r="C73" i="3"/>
  <c r="D70" i="1" s="1"/>
  <c r="C72" i="3"/>
  <c r="D69" i="1" s="1"/>
  <c r="C71" i="3"/>
  <c r="D68" i="1" s="1"/>
  <c r="C70" i="3"/>
  <c r="D67" i="1" s="1"/>
  <c r="C69" i="3"/>
  <c r="D66" i="1" s="1"/>
  <c r="C68" i="3"/>
  <c r="D65" i="1" s="1"/>
  <c r="C67" i="3"/>
  <c r="D64" i="1" s="1"/>
  <c r="C66" i="3"/>
  <c r="D63" i="1" s="1"/>
  <c r="C65" i="3"/>
  <c r="D62" i="1" s="1"/>
  <c r="C64" i="3"/>
  <c r="D61" i="1" s="1"/>
  <c r="C63" i="3"/>
  <c r="D60" i="1" s="1"/>
  <c r="C62" i="3"/>
  <c r="D59" i="1" s="1"/>
  <c r="C61" i="3"/>
  <c r="D58" i="1" s="1"/>
  <c r="C60" i="3"/>
  <c r="D57" i="1" s="1"/>
  <c r="C59" i="3"/>
  <c r="D56" i="1" s="1"/>
  <c r="C58" i="3"/>
  <c r="D55" i="1" s="1"/>
  <c r="C57" i="3"/>
  <c r="D54" i="1" s="1"/>
  <c r="C56" i="3"/>
  <c r="D53" i="1" s="1"/>
  <c r="C55" i="3"/>
  <c r="D52" i="1" s="1"/>
  <c r="C54" i="3"/>
  <c r="D51" i="1" s="1"/>
  <c r="C53" i="3"/>
  <c r="D50" i="1" s="1"/>
  <c r="C52" i="3"/>
  <c r="D49" i="1" s="1"/>
  <c r="C51" i="3"/>
  <c r="D48" i="1" s="1"/>
  <c r="C50" i="3"/>
  <c r="D47" i="1" s="1"/>
  <c r="C49" i="3"/>
  <c r="D46" i="1" s="1"/>
  <c r="C48" i="3"/>
  <c r="D45" i="1" s="1"/>
  <c r="C47" i="3"/>
  <c r="D44" i="1" s="1"/>
  <c r="C46" i="3"/>
  <c r="D43" i="1" s="1"/>
  <c r="C45" i="3"/>
  <c r="D42" i="1" s="1"/>
  <c r="C44" i="3"/>
  <c r="D41" i="1" s="1"/>
  <c r="C43" i="3"/>
  <c r="D40" i="1" s="1"/>
  <c r="C42" i="3"/>
  <c r="D39" i="1" s="1"/>
  <c r="C41" i="3"/>
  <c r="D38" i="1" s="1"/>
  <c r="C40" i="3"/>
  <c r="D37" i="1" s="1"/>
  <c r="C39" i="3"/>
  <c r="D36" i="1" s="1"/>
  <c r="C38" i="3"/>
  <c r="D35" i="1" s="1"/>
  <c r="C37" i="3"/>
  <c r="D34" i="1" s="1"/>
  <c r="C36" i="3"/>
  <c r="D33" i="1" s="1"/>
  <c r="C35" i="3"/>
  <c r="D32" i="1" s="1"/>
  <c r="C34" i="3"/>
  <c r="D31" i="1" s="1"/>
  <c r="C33" i="3"/>
  <c r="D30" i="1" s="1"/>
  <c r="C32" i="3"/>
  <c r="D29" i="1" s="1"/>
  <c r="C31" i="3"/>
  <c r="D28" i="1" s="1"/>
  <c r="C30" i="3"/>
  <c r="D27" i="1" s="1"/>
  <c r="C29" i="3"/>
  <c r="D26" i="1" s="1"/>
  <c r="C28" i="3"/>
  <c r="D25" i="1" s="1"/>
  <c r="C27" i="3"/>
  <c r="D24" i="1" s="1"/>
  <c r="C26" i="3"/>
  <c r="D23" i="1" s="1"/>
  <c r="C25" i="3"/>
  <c r="D22" i="1" s="1"/>
  <c r="C24" i="3"/>
  <c r="D21" i="1" s="1"/>
  <c r="C23" i="3"/>
  <c r="D20" i="1" s="1"/>
  <c r="C22" i="3"/>
  <c r="D19" i="1" s="1"/>
  <c r="C21" i="3"/>
  <c r="D18" i="1" s="1"/>
  <c r="C20" i="3"/>
  <c r="D17" i="1" s="1"/>
  <c r="C19" i="3"/>
  <c r="D16" i="1" s="1"/>
  <c r="C18" i="3"/>
  <c r="D15" i="1" s="1"/>
  <c r="C17" i="3"/>
  <c r="D14" i="1" s="1"/>
  <c r="C16" i="3"/>
  <c r="D13" i="1" s="1"/>
  <c r="C15" i="3"/>
  <c r="D12" i="1" s="1"/>
  <c r="C14" i="3"/>
  <c r="D11" i="1" s="1"/>
  <c r="C13" i="3"/>
  <c r="D10" i="1" s="1"/>
  <c r="C12" i="3"/>
  <c r="D9" i="1" s="1"/>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C138" i="6"/>
  <c r="K94" i="2" s="1"/>
  <c r="C137" i="6"/>
  <c r="K93" i="2" s="1"/>
  <c r="C136" i="6"/>
  <c r="K92" i="2" s="1"/>
  <c r="C135" i="6"/>
  <c r="K91" i="2" s="1"/>
  <c r="C134" i="6"/>
  <c r="K90" i="2" s="1"/>
  <c r="C133" i="6"/>
  <c r="K89" i="2" s="1"/>
  <c r="C132" i="6"/>
  <c r="K88" i="2" s="1"/>
  <c r="C131" i="6"/>
  <c r="K87" i="2" s="1"/>
  <c r="C130" i="6"/>
  <c r="K86" i="2" s="1"/>
  <c r="C129" i="6"/>
  <c r="K85" i="2" s="1"/>
  <c r="C128" i="6"/>
  <c r="K84" i="2" s="1"/>
  <c r="C127" i="6"/>
  <c r="K83" i="2" s="1"/>
  <c r="C126" i="6"/>
  <c r="K82" i="2" s="1"/>
  <c r="C125" i="6"/>
  <c r="K81" i="2" s="1"/>
  <c r="C124" i="6"/>
  <c r="K80" i="2" s="1"/>
  <c r="C123" i="6"/>
  <c r="K79" i="2" s="1"/>
  <c r="C122" i="6"/>
  <c r="K78" i="2" s="1"/>
  <c r="C121" i="6"/>
  <c r="K77" i="2" s="1"/>
  <c r="C120" i="6"/>
  <c r="K76" i="2" s="1"/>
  <c r="C119" i="6"/>
  <c r="K75" i="2" s="1"/>
  <c r="C118" i="6"/>
  <c r="K74" i="2" s="1"/>
  <c r="C117" i="6"/>
  <c r="K73" i="2" s="1"/>
  <c r="C116" i="6"/>
  <c r="K72" i="2" s="1"/>
  <c r="C115" i="6"/>
  <c r="K71" i="2" s="1"/>
  <c r="C114" i="6"/>
  <c r="K70" i="2" s="1"/>
  <c r="C113" i="6"/>
  <c r="K69" i="2" s="1"/>
  <c r="C112" i="6"/>
  <c r="K68" i="2" s="1"/>
  <c r="C111" i="6"/>
  <c r="K67" i="2" s="1"/>
  <c r="C110" i="6"/>
  <c r="K66" i="2" s="1"/>
  <c r="C109" i="6"/>
  <c r="K65" i="2" s="1"/>
  <c r="A109" i="6"/>
  <c r="A110" i="6" s="1"/>
  <c r="A111" i="6" s="1"/>
  <c r="A112" i="6" s="1"/>
  <c r="A113" i="6" s="1"/>
  <c r="A114" i="6" s="1"/>
  <c r="A115" i="6" s="1"/>
  <c r="A116" i="6" s="1"/>
  <c r="A117" i="6" s="1"/>
  <c r="A118" i="6" s="1"/>
  <c r="A119" i="6" s="1"/>
  <c r="A120" i="6" s="1"/>
  <c r="A121" i="6" s="1"/>
  <c r="A122" i="6" s="1"/>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8" i="6"/>
  <c r="K64" i="2" s="1"/>
  <c r="C107" i="6"/>
  <c r="K63" i="2" s="1"/>
  <c r="C106" i="6"/>
  <c r="K62" i="2" s="1"/>
  <c r="C105" i="6"/>
  <c r="K61" i="2" s="1"/>
  <c r="C104" i="6"/>
  <c r="K60" i="2" s="1"/>
  <c r="C103" i="6"/>
  <c r="K59" i="2" s="1"/>
  <c r="C102" i="6"/>
  <c r="K58" i="2" s="1"/>
  <c r="C101" i="6"/>
  <c r="K57" i="2" s="1"/>
  <c r="C100" i="6"/>
  <c r="K56" i="2" s="1"/>
  <c r="C99" i="6"/>
  <c r="K55" i="2" s="1"/>
  <c r="C98" i="6"/>
  <c r="K54" i="2" s="1"/>
  <c r="C97" i="6"/>
  <c r="K53" i="2" s="1"/>
  <c r="C96" i="6"/>
  <c r="K52" i="2" s="1"/>
  <c r="C95" i="6"/>
  <c r="K51" i="2" s="1"/>
  <c r="C94" i="6"/>
  <c r="K50" i="2" s="1"/>
  <c r="C93" i="6"/>
  <c r="K49" i="2" s="1"/>
  <c r="C92" i="6"/>
  <c r="K48" i="2" s="1"/>
  <c r="C91" i="6"/>
  <c r="K47" i="2" s="1"/>
  <c r="C90" i="6"/>
  <c r="K46" i="2" s="1"/>
  <c r="C89" i="6"/>
  <c r="K45" i="2" s="1"/>
  <c r="C88" i="6"/>
  <c r="K44" i="2" s="1"/>
  <c r="C87" i="6"/>
  <c r="K43" i="2" s="1"/>
  <c r="C86" i="6"/>
  <c r="K42" i="2" s="1"/>
  <c r="C85" i="6"/>
  <c r="K41" i="2" s="1"/>
  <c r="C84" i="6"/>
  <c r="K40" i="2" s="1"/>
  <c r="C83" i="6"/>
  <c r="K39" i="2" s="1"/>
  <c r="C82" i="6"/>
  <c r="K38" i="2" s="1"/>
  <c r="C81" i="6"/>
  <c r="K37" i="2" s="1"/>
  <c r="C80" i="6"/>
  <c r="K36" i="2" s="1"/>
  <c r="C79" i="6"/>
  <c r="K35" i="2" s="1"/>
  <c r="C78" i="6"/>
  <c r="K34" i="2" s="1"/>
  <c r="C77" i="6"/>
  <c r="K33" i="2" s="1"/>
  <c r="C76" i="6"/>
  <c r="K32" i="2" s="1"/>
  <c r="C75" i="6"/>
  <c r="K31" i="2" s="1"/>
  <c r="C74" i="6"/>
  <c r="K30" i="2" s="1"/>
  <c r="C73" i="6"/>
  <c r="K29" i="2" s="1"/>
  <c r="C72" i="6"/>
  <c r="K28" i="2" s="1"/>
  <c r="C71" i="6"/>
  <c r="K27" i="2" s="1"/>
  <c r="C70" i="6"/>
  <c r="K26" i="2" s="1"/>
  <c r="C69" i="6"/>
  <c r="K25" i="2" s="1"/>
  <c r="C68" i="6"/>
  <c r="K24" i="2" s="1"/>
  <c r="C67" i="6"/>
  <c r="K23" i="2" s="1"/>
  <c r="C66" i="6"/>
  <c r="K22" i="2" s="1"/>
  <c r="C65" i="6"/>
  <c r="K21" i="2" s="1"/>
  <c r="C64" i="6"/>
  <c r="K20" i="2" s="1"/>
  <c r="C63" i="6"/>
  <c r="K19" i="2" s="1"/>
  <c r="C62" i="6"/>
  <c r="K18" i="2" s="1"/>
  <c r="C61" i="6"/>
  <c r="K17" i="2" s="1"/>
  <c r="C60" i="6"/>
  <c r="K16" i="2" s="1"/>
  <c r="C59" i="6"/>
  <c r="K15" i="2" s="1"/>
  <c r="C58" i="6"/>
  <c r="K14" i="2" s="1"/>
  <c r="C57" i="6"/>
  <c r="K13" i="2" s="1"/>
  <c r="C56" i="6"/>
  <c r="K12" i="2" s="1"/>
  <c r="C55" i="6"/>
  <c r="K11" i="2" s="1"/>
  <c r="C54" i="6"/>
  <c r="K10" i="2" s="1"/>
  <c r="C53" i="6"/>
  <c r="K9" i="2" s="1"/>
  <c r="C52" i="6"/>
  <c r="K8" i="2" s="1"/>
  <c r="C51" i="6"/>
  <c r="K7" i="2" s="1"/>
  <c r="C50" i="6"/>
  <c r="K6" i="2" s="1"/>
  <c r="C49" i="6"/>
  <c r="K5" i="2" s="1"/>
  <c r="C48" i="6"/>
  <c r="K4" i="2" s="1"/>
  <c r="A82" i="6"/>
  <c r="A83" i="6" s="1"/>
  <c r="A84" i="6" s="1"/>
  <c r="A85" i="6" s="1"/>
  <c r="A86" i="6" s="1"/>
  <c r="A87" i="6" s="1"/>
  <c r="A88" i="6" s="1"/>
  <c r="A89" i="6" s="1"/>
  <c r="A90" i="6" s="1"/>
  <c r="A91" i="6" s="1"/>
  <c r="A92" i="6" s="1"/>
  <c r="A93" i="6" s="1"/>
  <c r="A94" i="6" s="1"/>
  <c r="A73" i="6"/>
  <c r="A74" i="6" s="1"/>
  <c r="A75" i="6" s="1"/>
  <c r="A76" i="6" s="1"/>
  <c r="A77" i="6" s="1"/>
  <c r="B11" i="1"/>
  <c r="K11" i="1" s="1"/>
  <c r="B35" i="1"/>
  <c r="K35" i="1" s="1"/>
  <c r="B36" i="1"/>
  <c r="K36" i="1" s="1"/>
  <c r="B37" i="1"/>
  <c r="K37" i="1" s="1"/>
  <c r="B38" i="1"/>
  <c r="K38" i="1" s="1"/>
  <c r="B39" i="1"/>
  <c r="K39" i="1" s="1"/>
  <c r="B40" i="1"/>
  <c r="K40" i="1" s="1"/>
  <c r="B41" i="1"/>
  <c r="K41" i="1" s="1"/>
  <c r="B42" i="1"/>
  <c r="K42" i="1" s="1"/>
  <c r="B43" i="1"/>
  <c r="K43" i="1" s="1"/>
  <c r="B44" i="1"/>
  <c r="K44" i="1" s="1"/>
  <c r="B45" i="1"/>
  <c r="K45" i="1" s="1"/>
  <c r="B46" i="1"/>
  <c r="K46" i="1" s="1"/>
  <c r="B47" i="1"/>
  <c r="K47" i="1" s="1"/>
  <c r="B48" i="1"/>
  <c r="K48" i="1" s="1"/>
  <c r="B49" i="1"/>
  <c r="K49" i="1" s="1"/>
  <c r="B50" i="1"/>
  <c r="K50" i="1" s="1"/>
  <c r="B51" i="1"/>
  <c r="K51" i="1" s="1"/>
  <c r="B52" i="1"/>
  <c r="K52" i="1" s="1"/>
  <c r="B53" i="1"/>
  <c r="K53" i="1" s="1"/>
  <c r="B54" i="1"/>
  <c r="K54" i="1" s="1"/>
  <c r="B55" i="1"/>
  <c r="K55" i="1" s="1"/>
  <c r="B56" i="1"/>
  <c r="K56" i="1" s="1"/>
  <c r="B57" i="1"/>
  <c r="K57" i="1" s="1"/>
  <c r="B58" i="1"/>
  <c r="K58" i="1" s="1"/>
  <c r="B59" i="1"/>
  <c r="K59" i="1" s="1"/>
  <c r="B60" i="1"/>
  <c r="K60" i="1" s="1"/>
  <c r="B61" i="1"/>
  <c r="K61" i="1" s="1"/>
  <c r="B62" i="1"/>
  <c r="K62" i="1" s="1"/>
  <c r="B63" i="1"/>
  <c r="K63" i="1" s="1"/>
  <c r="B64" i="1"/>
  <c r="K64" i="1" s="1"/>
  <c r="B65" i="1"/>
  <c r="K65" i="1" s="1"/>
  <c r="B66" i="1"/>
  <c r="K66" i="1" s="1"/>
  <c r="B67" i="1"/>
  <c r="K67" i="1" s="1"/>
  <c r="B68" i="1"/>
  <c r="K68" i="1" s="1"/>
  <c r="B69" i="1"/>
  <c r="K69" i="1" s="1"/>
  <c r="B70" i="1"/>
  <c r="K70" i="1" s="1"/>
  <c r="B71" i="1"/>
  <c r="K71" i="1" s="1"/>
  <c r="B72" i="1"/>
  <c r="K72" i="1" s="1"/>
  <c r="B73" i="1"/>
  <c r="K73" i="1" s="1"/>
  <c r="B74" i="1"/>
  <c r="K74" i="1" s="1"/>
  <c r="B75" i="1"/>
  <c r="K75" i="1" s="1"/>
  <c r="B76" i="1"/>
  <c r="K76" i="1" s="1"/>
  <c r="B77" i="1"/>
  <c r="K77" i="1" s="1"/>
  <c r="B78" i="1"/>
  <c r="K78" i="1" s="1"/>
  <c r="B79" i="1"/>
  <c r="K79" i="1" s="1"/>
  <c r="B80" i="1"/>
  <c r="K80" i="1" s="1"/>
  <c r="B81" i="1"/>
  <c r="K81" i="1" s="1"/>
  <c r="B82" i="1"/>
  <c r="K82" i="1" s="1"/>
  <c r="B83" i="1"/>
  <c r="K83" i="1" s="1"/>
  <c r="B84" i="1"/>
  <c r="K84" i="1" s="1"/>
  <c r="B85" i="1"/>
  <c r="K85" i="1" s="1"/>
  <c r="B86" i="1"/>
  <c r="K86" i="1" s="1"/>
  <c r="B87" i="1"/>
  <c r="K87" i="1" s="1"/>
  <c r="B88" i="1"/>
  <c r="K88" i="1" s="1"/>
  <c r="B89" i="1"/>
  <c r="K89" i="1" s="1"/>
  <c r="B90" i="1"/>
  <c r="K90" i="1" s="1"/>
  <c r="B91" i="1"/>
  <c r="K91" i="1" s="1"/>
  <c r="B92" i="1"/>
  <c r="K92" i="1" s="1"/>
  <c r="B93" i="1"/>
  <c r="K93" i="1" s="1"/>
  <c r="C99" i="4"/>
  <c r="F94" i="2" s="1"/>
  <c r="E93" i="1" s="1"/>
  <c r="F85" i="2"/>
  <c r="E84" i="1" s="1"/>
  <c r="F86" i="2"/>
  <c r="E85" i="1" s="1"/>
  <c r="F87" i="2"/>
  <c r="E86" i="1" s="1"/>
  <c r="F88" i="2"/>
  <c r="E87" i="1" s="1"/>
  <c r="F89" i="2"/>
  <c r="E88" i="1" s="1"/>
  <c r="F90" i="2"/>
  <c r="E89" i="1" s="1"/>
  <c r="F91" i="2"/>
  <c r="E90" i="1" s="1"/>
  <c r="F92" i="2"/>
  <c r="E91" i="1" s="1"/>
  <c r="C98" i="4"/>
  <c r="F93" i="2" s="1"/>
  <c r="E92" i="1" s="1"/>
  <c r="F4" i="2"/>
  <c r="E3" i="1" s="1"/>
  <c r="F5" i="2"/>
  <c r="E4" i="1" s="1"/>
  <c r="F6" i="2"/>
  <c r="E5" i="1" s="1"/>
  <c r="F7" i="2"/>
  <c r="E6" i="1" s="1"/>
  <c r="F8" i="2"/>
  <c r="E7" i="1" s="1"/>
  <c r="F9" i="2"/>
  <c r="E8" i="1" s="1"/>
  <c r="F10" i="2"/>
  <c r="E9" i="1" s="1"/>
  <c r="F11" i="2"/>
  <c r="E10" i="1" s="1"/>
  <c r="F12" i="2"/>
  <c r="E11" i="1" s="1"/>
  <c r="F13" i="2"/>
  <c r="E12" i="1" s="1"/>
  <c r="F14" i="2"/>
  <c r="E13" i="1" s="1"/>
  <c r="F15" i="2"/>
  <c r="E14" i="1" s="1"/>
  <c r="F16" i="2"/>
  <c r="E15" i="1" s="1"/>
  <c r="F17" i="2"/>
  <c r="E16" i="1" s="1"/>
  <c r="F18" i="2"/>
  <c r="E17" i="1" s="1"/>
  <c r="F19" i="2"/>
  <c r="E18" i="1" s="1"/>
  <c r="F20" i="2"/>
  <c r="E19" i="1" s="1"/>
  <c r="F21" i="2"/>
  <c r="E20" i="1" s="1"/>
  <c r="F22" i="2"/>
  <c r="E21" i="1" s="1"/>
  <c r="F23" i="2"/>
  <c r="E22" i="1" s="1"/>
  <c r="F24" i="2"/>
  <c r="E23" i="1" s="1"/>
  <c r="F25" i="2"/>
  <c r="E24" i="1" s="1"/>
  <c r="F26" i="2"/>
  <c r="E25" i="1" s="1"/>
  <c r="F27" i="2"/>
  <c r="E26" i="1" s="1"/>
  <c r="F28" i="2"/>
  <c r="E27" i="1" s="1"/>
  <c r="F29" i="2"/>
  <c r="E28" i="1" s="1"/>
  <c r="F30" i="2"/>
  <c r="E29" i="1" s="1"/>
  <c r="F31" i="2"/>
  <c r="E30" i="1" s="1"/>
  <c r="F32" i="2"/>
  <c r="E31" i="1" s="1"/>
  <c r="F33" i="2"/>
  <c r="E32" i="1" s="1"/>
  <c r="F34" i="2"/>
  <c r="E33" i="1" s="1"/>
  <c r="F35" i="2"/>
  <c r="E34" i="1" s="1"/>
  <c r="F36" i="2"/>
  <c r="E35" i="1" s="1"/>
  <c r="F37" i="2"/>
  <c r="E36" i="1" s="1"/>
  <c r="F38" i="2"/>
  <c r="E37" i="1" s="1"/>
  <c r="F39" i="2"/>
  <c r="E38" i="1" s="1"/>
  <c r="F40" i="2"/>
  <c r="E39" i="1" s="1"/>
  <c r="F41" i="2"/>
  <c r="E40" i="1" s="1"/>
  <c r="F42" i="2"/>
  <c r="E41" i="1" s="1"/>
  <c r="F43" i="2"/>
  <c r="E42" i="1" s="1"/>
  <c r="F44" i="2"/>
  <c r="E43" i="1" s="1"/>
  <c r="F45" i="2"/>
  <c r="E44" i="1" s="1"/>
  <c r="F46" i="2"/>
  <c r="E45" i="1" s="1"/>
  <c r="F47" i="2"/>
  <c r="E46" i="1" s="1"/>
  <c r="F48" i="2"/>
  <c r="E47" i="1" s="1"/>
  <c r="F49" i="2"/>
  <c r="E48" i="1" s="1"/>
  <c r="F50" i="2"/>
  <c r="E49" i="1" s="1"/>
  <c r="F51" i="2"/>
  <c r="E50" i="1" s="1"/>
  <c r="F52" i="2"/>
  <c r="E51" i="1" s="1"/>
  <c r="F53" i="2"/>
  <c r="E52" i="1" s="1"/>
  <c r="F54" i="2"/>
  <c r="E53" i="1" s="1"/>
  <c r="F55" i="2"/>
  <c r="E54" i="1" s="1"/>
  <c r="F56" i="2"/>
  <c r="E55" i="1" s="1"/>
  <c r="F57" i="2"/>
  <c r="E56" i="1" s="1"/>
  <c r="F58" i="2"/>
  <c r="E57" i="1" s="1"/>
  <c r="F59" i="2"/>
  <c r="E58" i="1" s="1"/>
  <c r="F60" i="2"/>
  <c r="E59" i="1" s="1"/>
  <c r="F61" i="2"/>
  <c r="E60" i="1" s="1"/>
  <c r="F62" i="2"/>
  <c r="E61" i="1" s="1"/>
  <c r="F63" i="2"/>
  <c r="E62" i="1" s="1"/>
  <c r="F64" i="2"/>
  <c r="E63" i="1" s="1"/>
  <c r="F65" i="2"/>
  <c r="E64" i="1" s="1"/>
  <c r="F66" i="2"/>
  <c r="E65" i="1" s="1"/>
  <c r="F67" i="2"/>
  <c r="E66" i="1" s="1"/>
  <c r="F68" i="2"/>
  <c r="E67" i="1" s="1"/>
  <c r="F69" i="2"/>
  <c r="E68" i="1" s="1"/>
  <c r="F70" i="2"/>
  <c r="E69" i="1" s="1"/>
  <c r="F71" i="2"/>
  <c r="E70" i="1" s="1"/>
  <c r="F72" i="2"/>
  <c r="E71" i="1" s="1"/>
  <c r="F73" i="2"/>
  <c r="E72" i="1" s="1"/>
  <c r="F74" i="2"/>
  <c r="E73" i="1" s="1"/>
  <c r="F75" i="2"/>
  <c r="E74" i="1" s="1"/>
  <c r="F76" i="2"/>
  <c r="E75" i="1" s="1"/>
  <c r="F77" i="2"/>
  <c r="E76" i="1" s="1"/>
  <c r="F78" i="2"/>
  <c r="E77" i="1" s="1"/>
  <c r="F79" i="2"/>
  <c r="E78" i="1" s="1"/>
  <c r="F80" i="2"/>
  <c r="E79" i="1" s="1"/>
  <c r="F81" i="2"/>
  <c r="E80" i="1" s="1"/>
  <c r="F82" i="2"/>
  <c r="E81" i="1" s="1"/>
  <c r="F83" i="2"/>
  <c r="E82" i="1" s="1"/>
  <c r="F84" i="2"/>
  <c r="E83" i="1" s="1"/>
  <c r="C5" i="2"/>
  <c r="B4" i="1" s="1"/>
  <c r="K4" i="1" s="1"/>
  <c r="C6" i="2"/>
  <c r="B5" i="1" s="1"/>
  <c r="K5" i="1" s="1"/>
  <c r="C7" i="2"/>
  <c r="B6" i="1" s="1"/>
  <c r="K6" i="1" s="1"/>
  <c r="C8" i="2"/>
  <c r="B7" i="1" s="1"/>
  <c r="K7" i="1" s="1"/>
  <c r="C9" i="2"/>
  <c r="B8" i="1" s="1"/>
  <c r="K8" i="1" s="1"/>
  <c r="C10" i="2"/>
  <c r="B9" i="1" s="1"/>
  <c r="K9" i="1" s="1"/>
  <c r="C11" i="2"/>
  <c r="B10" i="1" s="1"/>
  <c r="K10" i="1" s="1"/>
  <c r="C13" i="2"/>
  <c r="B12" i="1" s="1"/>
  <c r="K12" i="1" s="1"/>
  <c r="C14" i="2"/>
  <c r="B13" i="1" s="1"/>
  <c r="K13" i="1" s="1"/>
  <c r="C15" i="2"/>
  <c r="B14" i="1" s="1"/>
  <c r="K14" i="1" s="1"/>
  <c r="C16" i="2"/>
  <c r="B15" i="1" s="1"/>
  <c r="K15" i="1" s="1"/>
  <c r="C17" i="2"/>
  <c r="B16" i="1" s="1"/>
  <c r="K16" i="1" s="1"/>
  <c r="C18" i="2"/>
  <c r="B17" i="1" s="1"/>
  <c r="K17" i="1" s="1"/>
  <c r="C19" i="2"/>
  <c r="B18" i="1" s="1"/>
  <c r="K18" i="1" s="1"/>
  <c r="C20" i="2"/>
  <c r="B19" i="1" s="1"/>
  <c r="K19" i="1" s="1"/>
  <c r="C21" i="2"/>
  <c r="B20" i="1" s="1"/>
  <c r="K20" i="1" s="1"/>
  <c r="C22" i="2"/>
  <c r="B21" i="1" s="1"/>
  <c r="K21" i="1" s="1"/>
  <c r="C23" i="2"/>
  <c r="B22" i="1" s="1"/>
  <c r="K22" i="1" s="1"/>
  <c r="C24" i="2"/>
  <c r="B23" i="1" s="1"/>
  <c r="K23" i="1" s="1"/>
  <c r="C25" i="2"/>
  <c r="B24" i="1" s="1"/>
  <c r="K24" i="1" s="1"/>
  <c r="C26" i="2"/>
  <c r="B25" i="1" s="1"/>
  <c r="K25" i="1" s="1"/>
  <c r="C27" i="2"/>
  <c r="B26" i="1" s="1"/>
  <c r="K26" i="1" s="1"/>
  <c r="C28" i="2"/>
  <c r="B27" i="1" s="1"/>
  <c r="K27" i="1" s="1"/>
  <c r="C29" i="2"/>
  <c r="B28" i="1" s="1"/>
  <c r="K28" i="1" s="1"/>
  <c r="C30" i="2"/>
  <c r="B29" i="1" s="1"/>
  <c r="K29" i="1" s="1"/>
  <c r="C31" i="2"/>
  <c r="B30" i="1" s="1"/>
  <c r="K30" i="1" s="1"/>
  <c r="C32" i="2"/>
  <c r="B31" i="1" s="1"/>
  <c r="K31" i="1" s="1"/>
  <c r="C33" i="2"/>
  <c r="B32" i="1" s="1"/>
  <c r="K32" i="1" s="1"/>
  <c r="C34" i="2"/>
  <c r="B33" i="1" s="1"/>
  <c r="K33" i="1" s="1"/>
  <c r="C35" i="2"/>
  <c r="B34" i="1" s="1"/>
  <c r="K34" i="1" s="1"/>
  <c r="C97" i="4"/>
  <c r="C96" i="4"/>
  <c r="C95" i="4"/>
  <c r="C94" i="4"/>
  <c r="C93" i="4"/>
  <c r="B91" i="4"/>
  <c r="C92" i="4" s="1"/>
  <c r="A8" i="5"/>
  <c r="A6" i="5"/>
  <c r="A4" i="5"/>
  <c r="B90" i="4"/>
  <c r="C90" i="4" s="1"/>
  <c r="C3" i="2"/>
  <c r="D12" i="2"/>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H98" i="2" l="1"/>
  <c r="L99" i="1"/>
  <c r="I8" i="1"/>
  <c r="I7" i="1"/>
  <c r="H97" i="2"/>
  <c r="J97" i="2"/>
  <c r="F96" i="1" s="1"/>
  <c r="J98" i="2"/>
  <c r="F97" i="1" s="1"/>
  <c r="H99" i="2"/>
  <c r="G95" i="2"/>
  <c r="H96" i="2" s="1"/>
  <c r="J32" i="2"/>
  <c r="F31" i="1" s="1"/>
  <c r="L31" i="1" s="1"/>
  <c r="J68" i="2"/>
  <c r="F67" i="1" s="1"/>
  <c r="L67" i="1" s="1"/>
  <c r="I95" i="2"/>
  <c r="J96" i="2" s="1"/>
  <c r="F95" i="1" s="1"/>
  <c r="J85" i="2"/>
  <c r="F84" i="1" s="1"/>
  <c r="J72" i="2"/>
  <c r="F71" i="1" s="1"/>
  <c r="J84" i="2"/>
  <c r="F83" i="1" s="1"/>
  <c r="J15" i="2"/>
  <c r="F14" i="1" s="1"/>
  <c r="L14" i="1" s="1"/>
  <c r="J39" i="2"/>
  <c r="F38" i="1" s="1"/>
  <c r="J14" i="2"/>
  <c r="F13" i="1" s="1"/>
  <c r="J38" i="2"/>
  <c r="F37" i="1" s="1"/>
  <c r="L37" i="1" s="1"/>
  <c r="L98" i="1"/>
  <c r="J77" i="2"/>
  <c r="F76" i="1" s="1"/>
  <c r="J69" i="2"/>
  <c r="F68" i="1" s="1"/>
  <c r="H64" i="2"/>
  <c r="H76" i="2"/>
  <c r="H88" i="2"/>
  <c r="J11" i="2"/>
  <c r="F10" i="1" s="1"/>
  <c r="J23" i="2"/>
  <c r="F22" i="1" s="1"/>
  <c r="L22" i="1" s="1"/>
  <c r="J35" i="2"/>
  <c r="F34" i="1" s="1"/>
  <c r="J47" i="2"/>
  <c r="F46" i="1" s="1"/>
  <c r="J59" i="2"/>
  <c r="F58" i="1" s="1"/>
  <c r="J71" i="2"/>
  <c r="F70" i="1" s="1"/>
  <c r="J83" i="2"/>
  <c r="F82" i="1" s="1"/>
  <c r="L82" i="1" s="1"/>
  <c r="J63" i="2"/>
  <c r="F62" i="1" s="1"/>
  <c r="I34" i="1"/>
  <c r="J28" i="2"/>
  <c r="F27" i="1" s="1"/>
  <c r="L27" i="1" s="1"/>
  <c r="J27" i="2"/>
  <c r="F26" i="1" s="1"/>
  <c r="L26" i="1" s="1"/>
  <c r="J7" i="1"/>
  <c r="J4" i="2"/>
  <c r="F3" i="1" s="1"/>
  <c r="J52" i="2"/>
  <c r="F51" i="1" s="1"/>
  <c r="J64" i="2"/>
  <c r="F63" i="1" s="1"/>
  <c r="J76" i="2"/>
  <c r="F75" i="1" s="1"/>
  <c r="L75" i="1" s="1"/>
  <c r="J88" i="2"/>
  <c r="F87" i="1" s="1"/>
  <c r="J61" i="1"/>
  <c r="J72" i="1"/>
  <c r="J13" i="2"/>
  <c r="F12" i="1" s="1"/>
  <c r="L12" i="1" s="1"/>
  <c r="J25" i="2"/>
  <c r="F24" i="1" s="1"/>
  <c r="L24" i="1" s="1"/>
  <c r="J37" i="2"/>
  <c r="F36" i="1" s="1"/>
  <c r="J61" i="2"/>
  <c r="F60" i="1" s="1"/>
  <c r="L60" i="1" s="1"/>
  <c r="J73" i="2"/>
  <c r="F72" i="1" s="1"/>
  <c r="I11" i="1"/>
  <c r="H50" i="2"/>
  <c r="H62" i="2"/>
  <c r="H85" i="2"/>
  <c r="J81" i="2"/>
  <c r="F80" i="1" s="1"/>
  <c r="J93" i="2"/>
  <c r="F92" i="1" s="1"/>
  <c r="J94" i="1"/>
  <c r="I56" i="1"/>
  <c r="J48" i="2"/>
  <c r="F47" i="1" s="1"/>
  <c r="J51" i="2"/>
  <c r="F50" i="1" s="1"/>
  <c r="L50" i="1" s="1"/>
  <c r="I47" i="1"/>
  <c r="H82" i="2"/>
  <c r="H94" i="2"/>
  <c r="I73" i="1"/>
  <c r="H11" i="2"/>
  <c r="H35" i="2"/>
  <c r="H47" i="2"/>
  <c r="H59" i="2"/>
  <c r="H71" i="2"/>
  <c r="H83" i="2"/>
  <c r="J30" i="2"/>
  <c r="F29" i="1" s="1"/>
  <c r="I87" i="1"/>
  <c r="I28" i="1"/>
  <c r="J90" i="1"/>
  <c r="I97" i="1"/>
  <c r="J9" i="1"/>
  <c r="J22" i="2"/>
  <c r="F21" i="1" s="1"/>
  <c r="J46" i="2"/>
  <c r="F45" i="1" s="1"/>
  <c r="J12" i="2"/>
  <c r="F11" i="1" s="1"/>
  <c r="J24" i="2"/>
  <c r="F23" i="1" s="1"/>
  <c r="J36" i="2"/>
  <c r="F35" i="1" s="1"/>
  <c r="L35" i="1" s="1"/>
  <c r="J53" i="2"/>
  <c r="F52" i="1" s="1"/>
  <c r="J29" i="2"/>
  <c r="F28" i="1" s="1"/>
  <c r="L28" i="1" s="1"/>
  <c r="J50" i="2"/>
  <c r="F49" i="1" s="1"/>
  <c r="J62" i="2"/>
  <c r="F61" i="1" s="1"/>
  <c r="J5" i="2"/>
  <c r="F4" i="1" s="1"/>
  <c r="L4" i="1" s="1"/>
  <c r="J75" i="2"/>
  <c r="F74" i="1" s="1"/>
  <c r="L74" i="1" s="1"/>
  <c r="J65" i="2"/>
  <c r="F64" i="1" s="1"/>
  <c r="L64" i="1" s="1"/>
  <c r="H12" i="2"/>
  <c r="H48" i="2"/>
  <c r="H84" i="2"/>
  <c r="H27" i="2"/>
  <c r="H51" i="2"/>
  <c r="H63" i="2"/>
  <c r="H7" i="2"/>
  <c r="H19" i="2"/>
  <c r="H43" i="2"/>
  <c r="H55" i="2"/>
  <c r="H67" i="2"/>
  <c r="H21" i="2"/>
  <c r="H33" i="2"/>
  <c r="H45" i="2"/>
  <c r="H69" i="2"/>
  <c r="H93" i="2"/>
  <c r="H87" i="2"/>
  <c r="H37" i="2"/>
  <c r="H75" i="2"/>
  <c r="H34" i="2"/>
  <c r="H29" i="2"/>
  <c r="H41" i="2"/>
  <c r="H52" i="2"/>
  <c r="H91" i="2"/>
  <c r="H57" i="2"/>
  <c r="H61" i="2"/>
  <c r="H73" i="2"/>
  <c r="H15" i="2"/>
  <c r="H39" i="2"/>
  <c r="H13" i="2"/>
  <c r="H8" i="2"/>
  <c r="H20" i="2"/>
  <c r="H32" i="2"/>
  <c r="H56" i="2"/>
  <c r="H38" i="2"/>
  <c r="H26" i="2"/>
  <c r="H28" i="2"/>
  <c r="H81" i="2"/>
  <c r="H10" i="2"/>
  <c r="H4" i="2"/>
  <c r="H18" i="2"/>
  <c r="H30" i="2"/>
  <c r="H44" i="2"/>
  <c r="H68" i="2"/>
  <c r="H92" i="2"/>
  <c r="H24" i="2"/>
  <c r="H23" i="2"/>
  <c r="J22" i="1"/>
  <c r="J86" i="2"/>
  <c r="F85" i="1" s="1"/>
  <c r="J87" i="2"/>
  <c r="F86" i="1" s="1"/>
  <c r="J54" i="1"/>
  <c r="H6" i="2"/>
  <c r="H42" i="2"/>
  <c r="H66" i="2"/>
  <c r="H78" i="2"/>
  <c r="H90" i="2"/>
  <c r="J17" i="2"/>
  <c r="F16" i="1" s="1"/>
  <c r="J16" i="2"/>
  <c r="F15" i="1" s="1"/>
  <c r="L15" i="1" s="1"/>
  <c r="J41" i="2"/>
  <c r="F40" i="1" s="1"/>
  <c r="J40" i="2"/>
  <c r="F39" i="1" s="1"/>
  <c r="H65" i="2"/>
  <c r="H77" i="2"/>
  <c r="H89" i="2"/>
  <c r="I35" i="1"/>
  <c r="I62" i="1"/>
  <c r="J74" i="2"/>
  <c r="F73" i="1" s="1"/>
  <c r="J58" i="2"/>
  <c r="F57" i="1" s="1"/>
  <c r="L57" i="1" s="1"/>
  <c r="I88" i="1"/>
  <c r="J10" i="2"/>
  <c r="F9" i="1" s="1"/>
  <c r="L9" i="1" s="1"/>
  <c r="J70" i="2"/>
  <c r="F69" i="1" s="1"/>
  <c r="L69" i="1" s="1"/>
  <c r="H86" i="2"/>
  <c r="J37" i="1"/>
  <c r="C91" i="4"/>
  <c r="J38" i="1"/>
  <c r="H5" i="2"/>
  <c r="H36" i="2"/>
  <c r="H60" i="2"/>
  <c r="H72" i="2"/>
  <c r="J78" i="2"/>
  <c r="F77" i="1" s="1"/>
  <c r="J89" i="2"/>
  <c r="F88" i="1" s="1"/>
  <c r="L88" i="1" s="1"/>
  <c r="J90" i="2"/>
  <c r="F89" i="1" s="1"/>
  <c r="I13" i="1"/>
  <c r="J26" i="2"/>
  <c r="F25" i="1" s="1"/>
  <c r="I10" i="1"/>
  <c r="H40" i="2"/>
  <c r="I44" i="1"/>
  <c r="I19" i="1"/>
  <c r="J88" i="1"/>
  <c r="J73" i="1"/>
  <c r="J68" i="1"/>
  <c r="J54" i="2"/>
  <c r="F53" i="1" s="1"/>
  <c r="J16" i="1"/>
  <c r="J60" i="1"/>
  <c r="J48" i="1"/>
  <c r="H74" i="2"/>
  <c r="I67" i="1"/>
  <c r="J31" i="2"/>
  <c r="F30" i="1" s="1"/>
  <c r="L30" i="1" s="1"/>
  <c r="J44" i="2"/>
  <c r="F43" i="1" s="1"/>
  <c r="I86" i="1"/>
  <c r="J29" i="1"/>
  <c r="J49" i="1"/>
  <c r="J13" i="1"/>
  <c r="J83" i="1"/>
  <c r="J78" i="1"/>
  <c r="J40" i="1"/>
  <c r="J9" i="2"/>
  <c r="F8" i="1" s="1"/>
  <c r="J21" i="2"/>
  <c r="F20" i="1" s="1"/>
  <c r="L20" i="1" s="1"/>
  <c r="J33" i="2"/>
  <c r="F32" i="1" s="1"/>
  <c r="J45" i="2"/>
  <c r="F44" i="1" s="1"/>
  <c r="L44" i="1" s="1"/>
  <c r="I9" i="1"/>
  <c r="J94" i="2"/>
  <c r="F93" i="1" s="1"/>
  <c r="L93" i="1" s="1"/>
  <c r="J80" i="1"/>
  <c r="I53" i="1"/>
  <c r="J6" i="2"/>
  <c r="F5" i="1" s="1"/>
  <c r="J77" i="1"/>
  <c r="J93" i="1"/>
  <c r="J30" i="1"/>
  <c r="J64" i="1"/>
  <c r="J45" i="1"/>
  <c r="J31" i="1"/>
  <c r="J36" i="1"/>
  <c r="J41" i="1"/>
  <c r="I22" i="1"/>
  <c r="J56" i="1"/>
  <c r="I5" i="1"/>
  <c r="I38" i="1"/>
  <c r="I96" i="1"/>
  <c r="J17" i="1"/>
  <c r="I14" i="1"/>
  <c r="I4" i="1"/>
  <c r="J44" i="1"/>
  <c r="J20" i="1"/>
  <c r="J4" i="1"/>
  <c r="J92" i="1"/>
  <c r="J66" i="1"/>
  <c r="J86" i="1"/>
  <c r="J67" i="1"/>
  <c r="I20" i="1"/>
  <c r="J69" i="1"/>
  <c r="J57" i="1"/>
  <c r="J95" i="1"/>
  <c r="J91" i="1"/>
  <c r="J21" i="1"/>
  <c r="I15" i="1"/>
  <c r="I17" i="1"/>
  <c r="I95" i="1"/>
  <c r="I74" i="1"/>
  <c r="I30" i="1"/>
  <c r="J5" i="1"/>
  <c r="J62" i="1"/>
  <c r="I83" i="1"/>
  <c r="J79" i="1"/>
  <c r="I16" i="1"/>
  <c r="J28" i="1"/>
  <c r="J35" i="1"/>
  <c r="J11" i="1"/>
  <c r="J53" i="1"/>
  <c r="J14" i="1"/>
  <c r="J55" i="1"/>
  <c r="J23" i="1"/>
  <c r="J50" i="1"/>
  <c r="I26" i="1"/>
  <c r="J96" i="1"/>
  <c r="J15" i="1"/>
  <c r="J51" i="1"/>
  <c r="J47" i="1"/>
  <c r="J70" i="1"/>
  <c r="J24" i="1"/>
  <c r="I24" i="1"/>
  <c r="I12" i="1"/>
  <c r="J8" i="1"/>
  <c r="J76" i="1"/>
  <c r="I65" i="1"/>
  <c r="J65" i="1"/>
  <c r="I21" i="1"/>
  <c r="J46" i="1"/>
  <c r="J85" i="1"/>
  <c r="J75" i="1"/>
  <c r="I78" i="1"/>
  <c r="H25" i="2"/>
  <c r="J82" i="1"/>
  <c r="J26" i="1"/>
  <c r="H54" i="2"/>
  <c r="H53" i="2"/>
  <c r="H79" i="2"/>
  <c r="H80" i="2"/>
  <c r="J8" i="2"/>
  <c r="F7" i="1" s="1"/>
  <c r="J7" i="2"/>
  <c r="F6" i="1" s="1"/>
  <c r="J20" i="2"/>
  <c r="F19" i="1" s="1"/>
  <c r="J19" i="2"/>
  <c r="F18" i="1" s="1"/>
  <c r="J56" i="2"/>
  <c r="F55" i="1" s="1"/>
  <c r="J55" i="2"/>
  <c r="F54" i="1" s="1"/>
  <c r="J80" i="2"/>
  <c r="F79" i="1" s="1"/>
  <c r="J79" i="2"/>
  <c r="F78" i="1" s="1"/>
  <c r="J92" i="2"/>
  <c r="F91" i="1" s="1"/>
  <c r="J91" i="2"/>
  <c r="F90" i="1" s="1"/>
  <c r="J59" i="1"/>
  <c r="J10" i="1"/>
  <c r="J84" i="1"/>
  <c r="J57" i="2"/>
  <c r="F56" i="1" s="1"/>
  <c r="J58" i="1"/>
  <c r="J52" i="1"/>
  <c r="J89" i="1"/>
  <c r="J87" i="1"/>
  <c r="J12" i="1"/>
  <c r="J81" i="1"/>
  <c r="J27" i="1"/>
  <c r="J42" i="1"/>
  <c r="I23" i="1"/>
  <c r="J19" i="1"/>
  <c r="I6" i="1"/>
  <c r="J6" i="1"/>
  <c r="J63" i="1"/>
  <c r="J39" i="1"/>
  <c r="J71" i="1"/>
  <c r="J34" i="1"/>
  <c r="I27" i="1"/>
  <c r="I52" i="1"/>
  <c r="I79" i="1"/>
  <c r="J18" i="1"/>
  <c r="I18" i="1"/>
  <c r="J74" i="1"/>
  <c r="H58" i="2"/>
  <c r="J33" i="1"/>
  <c r="I33" i="1"/>
  <c r="J32" i="1"/>
  <c r="H49" i="2"/>
  <c r="J43" i="2"/>
  <c r="F42" i="1" s="1"/>
  <c r="J67" i="2"/>
  <c r="F66" i="1" s="1"/>
  <c r="J66" i="2"/>
  <c r="F65" i="1" s="1"/>
  <c r="J34" i="2"/>
  <c r="F33" i="1" s="1"/>
  <c r="J97" i="1"/>
  <c r="J25" i="1"/>
  <c r="I25" i="1"/>
  <c r="H16" i="2"/>
  <c r="H17" i="2"/>
  <c r="J60" i="2"/>
  <c r="F59" i="1" s="1"/>
  <c r="I43" i="1"/>
  <c r="H31" i="2"/>
  <c r="J43" i="1"/>
  <c r="J49" i="2"/>
  <c r="F48" i="1" s="1"/>
  <c r="H22" i="2"/>
  <c r="H46" i="2"/>
  <c r="H70" i="2"/>
  <c r="I80" i="1"/>
  <c r="H9" i="2"/>
  <c r="J82" i="2"/>
  <c r="F81" i="1" s="1"/>
  <c r="J18" i="2"/>
  <c r="F17" i="1" s="1"/>
  <c r="J42" i="2"/>
  <c r="F41" i="1" s="1"/>
  <c r="H14" i="2"/>
  <c r="I36" i="1"/>
  <c r="I94" i="1"/>
  <c r="I45" i="1"/>
  <c r="I51" i="1"/>
  <c r="I57" i="1"/>
  <c r="I64" i="1"/>
  <c r="I71" i="1"/>
  <c r="I81" i="1"/>
  <c r="I29" i="1"/>
  <c r="I39" i="1"/>
  <c r="I46" i="1"/>
  <c r="I58" i="1"/>
  <c r="I72" i="1"/>
  <c r="I77" i="1"/>
  <c r="I82" i="1"/>
  <c r="I40" i="1"/>
  <c r="I59" i="1"/>
  <c r="I41" i="1"/>
  <c r="I60" i="1"/>
  <c r="I66" i="1"/>
  <c r="I84" i="1"/>
  <c r="I89" i="1"/>
  <c r="I31" i="1"/>
  <c r="I55" i="1"/>
  <c r="I68" i="1"/>
  <c r="I91" i="1"/>
  <c r="I42" i="1"/>
  <c r="I32" i="1"/>
  <c r="I37" i="1"/>
  <c r="I69" i="1"/>
  <c r="I75" i="1"/>
  <c r="I92" i="1"/>
  <c r="I48" i="1"/>
  <c r="I54" i="1"/>
  <c r="I61" i="1"/>
  <c r="I85" i="1"/>
  <c r="I90" i="1"/>
  <c r="I50" i="1"/>
  <c r="I63" i="1"/>
  <c r="I70" i="1"/>
  <c r="I93" i="1"/>
  <c r="I76" i="1"/>
  <c r="I49" i="1"/>
  <c r="L13" i="1" l="1"/>
  <c r="J95" i="2"/>
  <c r="F94" i="1" s="1"/>
  <c r="L94" i="1" s="1"/>
  <c r="L96" i="1"/>
  <c r="B7" i="5"/>
  <c r="C7" i="5"/>
  <c r="B9" i="5"/>
  <c r="L97" i="1"/>
  <c r="L84" i="1"/>
  <c r="L71" i="1"/>
  <c r="L83" i="1"/>
  <c r="H95" i="2"/>
  <c r="L38" i="1"/>
  <c r="L95" i="1"/>
  <c r="L70" i="1"/>
  <c r="L68" i="1"/>
  <c r="L10" i="1"/>
  <c r="L80" i="1"/>
  <c r="L86" i="1"/>
  <c r="L21" i="1"/>
  <c r="L85" i="1"/>
  <c r="L58" i="1"/>
  <c r="L34" i="1"/>
  <c r="L72" i="1"/>
  <c r="L76" i="1"/>
  <c r="L46" i="1"/>
  <c r="L62" i="1"/>
  <c r="L29" i="1"/>
  <c r="L51" i="1"/>
  <c r="L63" i="1"/>
  <c r="L23" i="1"/>
  <c r="L36" i="1"/>
  <c r="L73" i="1"/>
  <c r="L47" i="1"/>
  <c r="L87" i="1"/>
  <c r="L52" i="1"/>
  <c r="L49" i="1"/>
  <c r="L92" i="1"/>
  <c r="L11" i="1"/>
  <c r="L89" i="1"/>
  <c r="L45" i="1"/>
  <c r="C8" i="5"/>
  <c r="L8" i="1"/>
  <c r="L61" i="1"/>
  <c r="L40" i="1"/>
  <c r="L25" i="1"/>
  <c r="L53" i="1"/>
  <c r="L77" i="1"/>
  <c r="L32" i="1"/>
  <c r="L39" i="1"/>
  <c r="L43" i="1"/>
  <c r="L16" i="1"/>
  <c r="B8" i="5"/>
  <c r="L5" i="1"/>
  <c r="L42" i="1"/>
  <c r="B6" i="5"/>
  <c r="L6" i="1"/>
  <c r="L17" i="1"/>
  <c r="L79" i="1"/>
  <c r="L65" i="1"/>
  <c r="L54" i="1"/>
  <c r="L55" i="1"/>
  <c r="L18" i="1"/>
  <c r="L48" i="1"/>
  <c r="L90" i="1"/>
  <c r="L66" i="1"/>
  <c r="L56" i="1"/>
  <c r="L19" i="1"/>
  <c r="L59" i="1"/>
  <c r="L81" i="1"/>
  <c r="L41" i="1"/>
  <c r="L91" i="1"/>
  <c r="L78" i="1"/>
  <c r="L33" i="1"/>
  <c r="C6" i="5"/>
  <c r="L7" i="1"/>
  <c r="H6" i="5" l="1"/>
  <c r="H9" i="5"/>
  <c r="C9" i="5"/>
  <c r="H7" i="5"/>
  <c r="I7" i="5"/>
  <c r="I8" i="5"/>
  <c r="H8" i="5"/>
  <c r="I6" i="5" l="1"/>
  <c r="I5" i="5"/>
  <c r="H5" i="5"/>
  <c r="C4" i="2" l="1"/>
  <c r="B3" i="1" s="1"/>
  <c r="I3" i="1" l="1"/>
  <c r="B5" i="5" s="1"/>
  <c r="J3" i="1"/>
  <c r="C5" i="5" s="1"/>
  <c r="K3" i="1"/>
  <c r="L3" i="1"/>
  <c r="C4" i="5" l="1"/>
  <c r="B4" i="5"/>
  <c r="H4" i="5" l="1"/>
  <c r="I4" i="5"/>
  <c r="K4" i="5" l="1"/>
  <c r="J4" i="5"/>
  <c r="J8" i="5"/>
  <c r="K8" i="5"/>
  <c r="J6" i="5"/>
  <c r="K6" i="5"/>
  <c r="D6" i="5" l="1"/>
  <c r="E6" i="5"/>
  <c r="D4" i="5"/>
  <c r="E4" i="5"/>
  <c r="D8" i="5"/>
  <c r="E8" i="5"/>
</calcChain>
</file>

<file path=xl/sharedStrings.xml><?xml version="1.0" encoding="utf-8"?>
<sst xmlns="http://schemas.openxmlformats.org/spreadsheetml/2006/main" count="191" uniqueCount="133">
  <si>
    <t>Geometric Average</t>
    <phoneticPr fontId="10" type="noConversion"/>
  </si>
  <si>
    <t>Stocks - T. Bills</t>
    <phoneticPr fontId="10" type="noConversion"/>
  </si>
  <si>
    <t>Stocks - T. Bonds</t>
    <phoneticPr fontId="10" type="noConversion"/>
  </si>
  <si>
    <t>Arithmetic Average</t>
    <phoneticPr fontId="10" type="noConversion"/>
  </si>
  <si>
    <t>Annual Returns on Investments in</t>
  </si>
  <si>
    <t>Year</t>
  </si>
  <si>
    <t>Risk Premium</t>
  </si>
  <si>
    <t>S&amp;P 500</t>
  </si>
  <si>
    <t>T.Bond rate</t>
  </si>
  <si>
    <t>Dividends</t>
  </si>
  <si>
    <t>Dividend Yield</t>
  </si>
  <si>
    <t>Return on bond</t>
  </si>
  <si>
    <t>Stocks - Bonds</t>
    <phoneticPr fontId="10" type="noConversion"/>
  </si>
  <si>
    <t>TB3MS</t>
  </si>
  <si>
    <t xml:space="preserve">Bond used: </t>
    <phoneticPr fontId="10" type="noConversion"/>
  </si>
  <si>
    <t>US treasury 10-year bond at end of each year</t>
    <phoneticPr fontId="10" type="noConversion"/>
  </si>
  <si>
    <t>Source:</t>
    <phoneticPr fontId="10" type="noConversion"/>
  </si>
  <si>
    <t>Federal Reserve of St. Louis (FRED)</t>
    <phoneticPr fontId="10" type="noConversion"/>
  </si>
  <si>
    <t>Computation</t>
    <phoneticPr fontId="10" type="noConversion"/>
  </si>
  <si>
    <t>To compute the return on a constant maturity bond, I add two components - the promised coupon at the start of the year and the price change due to interest rate changes.</t>
    <phoneticPr fontId="10" type="noConversion"/>
  </si>
  <si>
    <t>The return on the 10-year bond for 1928 = 3.17% (Coupon rate promised at the end of 1927) - Price change on a bond with a coupon rate of 3.17%, when the interest rate goes to 3.45%.</t>
    <phoneticPr fontId="10" type="noConversion"/>
  </si>
  <si>
    <t>3-month T.Bill</t>
  </si>
  <si>
    <t>Std Error</t>
  </si>
  <si>
    <t>S&amp;P 500 (includes dividends)</t>
  </si>
  <si>
    <t>Inflation Rate</t>
  </si>
  <si>
    <t>Aaa Bond Rate</t>
  </si>
  <si>
    <t>Baa Bond Rate</t>
  </si>
  <si>
    <t xml:space="preserve">Return on Aaa </t>
  </si>
  <si>
    <t xml:space="preserve">Return on Baa </t>
  </si>
  <si>
    <t>Returns on Real Estate</t>
  </si>
  <si>
    <t>Stocks - Baa Corp Bond</t>
  </si>
  <si>
    <t>Date</t>
  </si>
  <si>
    <t>From fig2.1Revised2011.xls</t>
  </si>
  <si>
    <t>Annual Risk Premium</t>
  </si>
  <si>
    <t>Chg in House Price</t>
  </si>
  <si>
    <t xml:space="preserve"> Baa Corporate Bond</t>
  </si>
  <si>
    <t>FRED Graph Observations</t>
  </si>
  <si>
    <t>Federal Reserve Economic Data</t>
  </si>
  <si>
    <t>Link: https://fred.stlouisfed.org</t>
  </si>
  <si>
    <t>Help: https://fred.stlouisfed.org/help-faq</t>
  </si>
  <si>
    <t>Economic Research Division</t>
  </si>
  <si>
    <t>Federal Reserve Bank of St. Louis</t>
  </si>
  <si>
    <t>CSUSHPINSA</t>
  </si>
  <si>
    <t>S&amp;P/Case-Shiller U.S. National Home Price Index, Percent Change from Year Ago of (Index Jan 2000=100), Annual, Not Seasonally Adjusted</t>
  </si>
  <si>
    <t>Frequency: Annual</t>
  </si>
  <si>
    <t>observation_date</t>
  </si>
  <si>
    <t>Home Price data from Robert Shiller's website.</t>
  </si>
  <si>
    <t>My objective in this spreadsheet is to compute the annual returns you would have earned on major financial asset classses, on an annual basis, inclusive of both cash payout during the year and the price appreciation.</t>
  </si>
  <si>
    <t>End Game</t>
  </si>
  <si>
    <t>Explanations, by asset class</t>
  </si>
  <si>
    <t>Stocks (Large Cap)</t>
  </si>
  <si>
    <t>US T.Bond</t>
  </si>
  <si>
    <t>I use the 10-year US treasury bond, since it is the only longer maturity bond with an uninterrupted history going back in time. For the data, I use the yields on a constant-maturrity 10-year bond, which can be found on FRED (the Federal Reserve website). I convert the yield into a return, by repricing the bond, issued at par at the prior year's yield, with the new yield, while keeping the maturity constant at 10 years. Thus, if the yield goes from 2.5% to 3%, I first price a 2.5%, 10 year coupon bond with a 3% interest rate, and subtract this number from the par value of the bond which is $1000. That gives me the price change. Adding the 3% coupon for the current year gives me the total return.</t>
  </si>
  <si>
    <t>US T.Bill</t>
  </si>
  <si>
    <t>CPIAUCNS</t>
  </si>
  <si>
    <t>Consumer Price Index for All Urban Consumers: All Items in U.S. City Average, Percent Change from Year Ago of (Index 1982-1984=100), Annual, Not Seasonally Adjusted</t>
  </si>
  <si>
    <t>Real Returns</t>
  </si>
  <si>
    <t>For each of the data series. I computre a real return by removing the inflatin for the year from the nominal return, using (1+ Nominal Rate)/ (1+Inflation Rate) -1.</t>
  </si>
  <si>
    <t>Arithmetic Average Return</t>
  </si>
  <si>
    <t>Geometric Average Return</t>
  </si>
  <si>
    <t>A simple average of the annual returns over the specified period (10 yrs, 50 yrs etc.)</t>
  </si>
  <si>
    <t>The risk premium is the difference in the annualized return on stocks and the annualized return on T.Bonds and on T.Bills over the specified period.</t>
  </si>
  <si>
    <t>A compounded average of the returns over the period. This is most simply computed by dividing the value you would have at the end of the period by the value at the beginning and then computing the compouded average. To compute the cumulated value on both stocks and bonds, I assume that dividends/coupons get reinvested back.</t>
  </si>
  <si>
    <t>FAQ</t>
  </si>
  <si>
    <t>How precise are the annual numbers?</t>
  </si>
  <si>
    <t>Since the S&amp;P and US treasuries are liquid and the underlying data is widely dispersed, the annual numbers are reliable.</t>
  </si>
  <si>
    <t>How good as the averages as predictors?</t>
  </si>
  <si>
    <t>The returns, especially on stocks and bonds, are noisy, with up years and down years. The averages that have been computed come with error, and I have computed standard errros in each of the numbers (especially the risk premiums). Note that even with the longest data series, there is substantial standard error and it becomes explosively large for shorter periods.</t>
  </si>
  <si>
    <t>Why do you keep the maturity of the 10-year bond unchanged, when you compute the return on the bond?</t>
  </si>
  <si>
    <t>Normally, when you buy a 10-year bond and hold it for a year, you will end up with a 9-year bond. While I could compute the return using a 9-year maturity, and the answer will be fairly close to what I report, I want to keep the 10-year rmaturity going for consistency in my risk premium computation. Put simply, think of the return on the 10-year bond as the one you would have if the coupon changed, but the maturity is reset to 10 year at the end of the year.</t>
  </si>
  <si>
    <t>Moody's Seasoned Aaa Corporate Bond Yield, Percent, Annual, Not Seasonally Adjusted</t>
  </si>
  <si>
    <t>AAA</t>
  </si>
  <si>
    <t>% Rate</t>
  </si>
  <si>
    <t>BAA</t>
  </si>
  <si>
    <t>Moody's Seasoned Baa Corporate Bond Yield, Percent, Annual, Not Seasonally Adjusted</t>
  </si>
  <si>
    <t>Aaa &amp; Baa Corporate Bond</t>
  </si>
  <si>
    <t>I obtain the yield on a Moody's Aaa and Baa corporate bond yields from FRED and then compute the return on the bond, using the same approach that I use for the US T.Bond.</t>
  </si>
  <si>
    <t>Real Estate</t>
  </si>
  <si>
    <t xml:space="preserve">Source of data: </t>
  </si>
  <si>
    <t xml:space="preserve">http://www.econ.yale.edu//~shiller/data.htm </t>
  </si>
  <si>
    <t>I use the S&amp;P 500, which was created in 1957, and then back fill the data using other indices of large market cap companies that existed prior. Each year, I compute the annual return, by first computing the dividend yield by dividing the dividends paid and the price change in the index, by the level of the index at the start of the year. Thus, if the index starts at 1000, and increases to 1080, while delivering a dividend of 5, my annual return = (1080-1000+5)/1000 = 8.5%</t>
  </si>
  <si>
    <t>Gold</t>
  </si>
  <si>
    <t>Price per oz</t>
  </si>
  <si>
    <t xml:space="preserve">Year-end prices for gold, per oz, </t>
  </si>
  <si>
    <t>Source for pre-1970: https://nma.org/wp-content/uploads/2016/09/historic_gold_prices_1833_pres.pdf (average price for year)</t>
  </si>
  <si>
    <t>Gold*</t>
  </si>
  <si>
    <t>Help: https://fredhelp.stlouisfed.org</t>
  </si>
  <si>
    <t>DTB3</t>
  </si>
  <si>
    <t>3-Month Treasury Bill Secondary Market Rate, Discount Basis, Percent, Annual, Not Seasonally Adjusted</t>
  </si>
  <si>
    <t>I use the 3-month US treasury bill, again choosing it over the 6-month because of longevity. While I used to report the end of the year number as the return on the T.Bill for the year, I have replaced that with the average T.Bill rate over the year, since that is a better representation.</t>
  </si>
  <si>
    <t>https://fred.stlouisfed.org/series/CSUSHPINSA</t>
  </si>
  <si>
    <t>1928-2023</t>
  </si>
  <si>
    <t>1974-2023</t>
  </si>
  <si>
    <t>2014-2023</t>
  </si>
  <si>
    <t>US T. Bond (10-year)</t>
  </si>
  <si>
    <t>Source for 1977 - Current: Case Shiller index (FRED)</t>
  </si>
  <si>
    <t>End of year</t>
  </si>
  <si>
    <t>Source for 1970-Current: LBMA Gold prices per oz</t>
  </si>
  <si>
    <t>Average for the year</t>
  </si>
  <si>
    <t>Stocks</t>
  </si>
  <si>
    <t>T. Bills</t>
  </si>
  <si>
    <t>T. Bonds</t>
  </si>
  <si>
    <t>Mean</t>
  </si>
  <si>
    <t>Standard Error</t>
  </si>
  <si>
    <t>Median</t>
  </si>
  <si>
    <t>Standard Deviation</t>
  </si>
  <si>
    <t>Kurtosis</t>
  </si>
  <si>
    <t>Skewness</t>
  </si>
  <si>
    <t>Minimum</t>
  </si>
  <si>
    <t>Maximum</t>
  </si>
  <si>
    <t>25th percentile</t>
  </si>
  <si>
    <t>75th percentile</t>
  </si>
  <si>
    <t>S&amp;P 500 (Real)</t>
  </si>
  <si>
    <t>T. Bill (Real)</t>
  </si>
  <si>
    <t>T.Bond (Real)</t>
  </si>
  <si>
    <t>Nominal value of $100 invested in 1928</t>
  </si>
  <si>
    <t>Real value of $100 invested in 1928</t>
  </si>
  <si>
    <t>Arithmetic Average</t>
  </si>
  <si>
    <t>Geometric Average</t>
  </si>
  <si>
    <t>Stocks - T. Bills</t>
  </si>
  <si>
    <t>Stocks - T. Bonds</t>
  </si>
  <si>
    <t>Nominal</t>
  </si>
  <si>
    <t>Real</t>
  </si>
  <si>
    <t>US Small cap (bottom decile)</t>
  </si>
  <si>
    <t>Stocks - Bills</t>
  </si>
  <si>
    <t>Stocks (Small Cap)</t>
  </si>
  <si>
    <t>Return</t>
  </si>
  <si>
    <t xml:space="preserve">I use the home price data that Robert Shiller reports on his webpage to compute a real estate return on residential real estate. That series has now morphed into the Case-Shiller Index. Note that this return is just price appreciation, and will understate the returns on real estate by the cash flow return (from rental income) each year. </t>
  </si>
  <si>
    <t>Small Cap Premium (S&amp;P 500 minus Bottom Decile)</t>
  </si>
  <si>
    <t>I use the CPI for all urban consumers, reported on FRED. I use the non seasonally adjusted numbers, because they go back to 1914. Seasonal adjustments began in 1948.</t>
  </si>
  <si>
    <t>(Oct 2025, will be updated when available)</t>
  </si>
  <si>
    <t>I use the value-weighted bottom decile of US stocks, as estimated and reported by Ken French on his amazing data page, for annual returns every year from 1928 to the most recent year.</t>
  </si>
  <si>
    <t>(thru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</si>
</sst>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quot;$&quot;* #,##0.00_);_(&quot;$&quot;* \(#,##0.00\);_(&quot;$&quot;* &quot;-&quot;??_);_(@_)"/>
    <numFmt numFmtId="177" formatCode="yyyy\-mm\-dd"/>
    <numFmt numFmtId="178" formatCode="0.0"/>
    <numFmt numFmtId="179" formatCode="&quot;$&quot;#,##0.00"/>
    <numFmt numFmtId="180" formatCode="0.0000%"/>
    <numFmt numFmtId="181" formatCode="0.00000"/>
  </numFmts>
  <fonts count="43">
    <font>
      <sz val="10"/>
      <name val="Geneva"/>
      <family val="2"/>
      <charset val="1"/>
    </font>
    <font>
      <sz val="12"/>
      <color theme="1"/>
      <name val="新細明體"/>
      <family val="2"/>
      <scheme val="minor"/>
    </font>
    <font>
      <b/>
      <sz val="10"/>
      <name val="Geneva"/>
      <family val="2"/>
      <charset val="1"/>
    </font>
    <font>
      <i/>
      <sz val="10"/>
      <name val="Geneva"/>
      <family val="2"/>
      <charset val="1"/>
    </font>
    <font>
      <sz val="10"/>
      <name val="Geneva"/>
      <family val="2"/>
      <charset val="1"/>
    </font>
    <font>
      <i/>
      <sz val="12"/>
      <name val="Times"/>
      <family val="1"/>
    </font>
    <font>
      <sz val="12"/>
      <name val="Times"/>
      <family val="1"/>
    </font>
    <font>
      <b/>
      <sz val="12"/>
      <name val="Times"/>
      <family val="1"/>
    </font>
    <font>
      <u/>
      <sz val="10"/>
      <color indexed="12"/>
      <name val="Geneva"/>
      <family val="2"/>
      <charset val="1"/>
    </font>
    <font>
      <sz val="10"/>
      <name val="Times"/>
      <family val="1"/>
    </font>
    <font>
      <sz val="8"/>
      <name val="Verdana"/>
      <family val="2"/>
    </font>
    <font>
      <sz val="10"/>
      <name val="Arial"/>
      <family val="2"/>
    </font>
    <font>
      <sz val="12"/>
      <name val="Geneva"/>
      <family val="2"/>
      <charset val="1"/>
    </font>
    <font>
      <i/>
      <sz val="12"/>
      <name val="Geneva"/>
      <family val="2"/>
      <charset val="1"/>
    </font>
    <font>
      <sz val="10"/>
      <name val="Arial"/>
      <family val="2"/>
    </font>
    <font>
      <sz val="9"/>
      <name val="Arial"/>
      <family val="2"/>
    </font>
    <font>
      <b/>
      <sz val="12"/>
      <name val="Geneva"/>
      <family val="2"/>
      <charset val="1"/>
    </font>
    <font>
      <b/>
      <sz val="14"/>
      <name val="Geneva"/>
      <family val="2"/>
      <charset val="1"/>
    </font>
    <font>
      <sz val="14"/>
      <name val="Geneva"/>
      <family val="2"/>
      <charset val="1"/>
    </font>
    <font>
      <i/>
      <sz val="10"/>
      <name val="Arial"/>
      <family val="2"/>
    </font>
    <font>
      <sz val="12"/>
      <name val="新細明體"/>
      <family val="2"/>
      <scheme val="minor"/>
    </font>
    <font>
      <sz val="10"/>
      <color rgb="FF008000"/>
      <name val="Geneva"/>
      <family val="2"/>
      <charset val="1"/>
    </font>
    <font>
      <sz val="12"/>
      <color rgb="FF000000"/>
      <name val="Calibri"/>
      <family val="2"/>
    </font>
    <font>
      <sz val="12"/>
      <color theme="1"/>
      <name val="Times"/>
      <family val="1"/>
    </font>
    <font>
      <sz val="12"/>
      <color rgb="FFFF0000"/>
      <name val="Geneva"/>
      <family val="2"/>
      <charset val="1"/>
    </font>
    <font>
      <sz val="10"/>
      <color rgb="FFFF0000"/>
      <name val="Geneva"/>
      <family val="2"/>
      <charset val="1"/>
    </font>
    <font>
      <sz val="10"/>
      <color theme="1"/>
      <name val="Geneva"/>
      <family val="2"/>
      <charset val="1"/>
    </font>
    <font>
      <sz val="12"/>
      <color theme="0"/>
      <name val="Geneva"/>
      <family val="2"/>
      <charset val="1"/>
    </font>
    <font>
      <sz val="12"/>
      <color theme="1"/>
      <name val="Geneva"/>
      <family val="2"/>
      <charset val="1"/>
    </font>
    <font>
      <i/>
      <sz val="12"/>
      <color theme="1"/>
      <name val="Geneva"/>
      <family val="2"/>
      <charset val="1"/>
    </font>
    <font>
      <sz val="12"/>
      <color theme="0"/>
      <name val="新細明體"/>
      <family val="2"/>
      <scheme val="minor"/>
    </font>
    <font>
      <b/>
      <i/>
      <sz val="12"/>
      <color theme="1"/>
      <name val="新細明體"/>
      <family val="2"/>
      <scheme val="minor"/>
    </font>
    <font>
      <b/>
      <i/>
      <sz val="12"/>
      <color theme="0"/>
      <name val="新細明體"/>
      <family val="2"/>
      <scheme val="minor"/>
    </font>
    <font>
      <sz val="12"/>
      <color rgb="FF000000"/>
      <name val="Times New Roman"/>
      <family val="1"/>
    </font>
    <font>
      <i/>
      <sz val="12"/>
      <color rgb="FF000000"/>
      <name val="Times New Roman"/>
      <family val="1"/>
    </font>
    <font>
      <b/>
      <sz val="14"/>
      <name val="Geneva"/>
      <family val="2"/>
    </font>
    <font>
      <sz val="10"/>
      <name val="Arial Unicode MS"/>
      <family val="2"/>
    </font>
    <font>
      <sz val="12"/>
      <name val="Times New Roman"/>
      <family val="1"/>
    </font>
    <font>
      <b/>
      <sz val="12"/>
      <color theme="0"/>
      <name val="Times New Roman"/>
      <family val="1"/>
    </font>
    <font>
      <i/>
      <sz val="12"/>
      <name val="Times New Roman"/>
      <family val="1"/>
    </font>
    <font>
      <i/>
      <sz val="12"/>
      <color theme="0"/>
      <name val="Times New Roman"/>
      <family val="1"/>
    </font>
    <font>
      <sz val="12"/>
      <color theme="0"/>
      <name val="Times New Roman"/>
      <family val="1"/>
    </font>
    <font>
      <sz val="9"/>
      <name val="細明體"/>
      <family val="3"/>
      <charset val="136"/>
    </font>
  </fonts>
  <fills count="8">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2"/>
        <bgColor indexed="64"/>
      </patternFill>
    </fill>
    <fill>
      <patternFill patternType="solid">
        <fgColor theme="1"/>
        <bgColor indexed="64"/>
      </patternFill>
    </fill>
    <fill>
      <patternFill patternType="solid">
        <fgColor theme="0" tint="-0.14999847407452621"/>
        <bgColor theme="0" tint="-0.14999847407452621"/>
      </patternFill>
    </fill>
    <fill>
      <patternFill patternType="solid">
        <fgColor rgb="FFEEECE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1"/>
      </top>
      <bottom style="thin">
        <color theme="0"/>
      </bottom>
      <diagonal/>
    </border>
    <border>
      <left style="thin">
        <color theme="1"/>
      </left>
      <right style="thin">
        <color theme="0"/>
      </right>
      <top style="thin">
        <color theme="1"/>
      </top>
      <bottom style="thin">
        <color theme="0"/>
      </bottom>
      <diagonal/>
    </border>
    <border>
      <left style="thin">
        <color indexed="64"/>
      </left>
      <right style="thin">
        <color indexed="64"/>
      </right>
      <top style="thin">
        <color indexed="64"/>
      </top>
      <bottom style="thin">
        <color theme="1"/>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theme="1"/>
      </bottom>
      <diagonal/>
    </border>
    <border>
      <left/>
      <right style="thin">
        <color theme="0"/>
      </right>
      <top/>
      <bottom/>
      <diagonal/>
    </border>
    <border>
      <left style="thin">
        <color theme="0"/>
      </left>
      <right style="thin">
        <color theme="0"/>
      </right>
      <top style="thin">
        <color theme="0"/>
      </top>
      <bottom/>
      <diagonal/>
    </border>
  </borders>
  <cellStyleXfs count="4">
    <xf numFmtId="0" fontId="0" fillId="0" borderId="0"/>
    <xf numFmtId="176" fontId="4" fillId="0" borderId="0" applyFont="0" applyFill="0" applyBorder="0" applyAlignment="0" applyProtection="0"/>
    <xf numFmtId="0" fontId="8" fillId="0" borderId="0" applyNumberFormat="0" applyFill="0" applyBorder="0" applyAlignment="0" applyProtection="0">
      <alignment vertical="top"/>
      <protection locked="0"/>
    </xf>
    <xf numFmtId="9" fontId="4" fillId="0" borderId="0" applyFont="0" applyFill="0" applyBorder="0" applyAlignment="0" applyProtection="0"/>
  </cellStyleXfs>
  <cellXfs count="141">
    <xf numFmtId="0" fontId="0" fillId="0" borderId="0" xfId="0"/>
    <xf numFmtId="0" fontId="6" fillId="0" borderId="1" xfId="0" applyFont="1" applyBorder="1" applyAlignment="1">
      <alignment horizontal="center"/>
    </xf>
    <xf numFmtId="10" fontId="6" fillId="0" borderId="1" xfId="0" applyNumberFormat="1" applyFont="1" applyBorder="1" applyAlignment="1">
      <alignment horizontal="center"/>
    </xf>
    <xf numFmtId="0" fontId="6" fillId="0" borderId="0" xfId="0" applyFont="1" applyAlignment="1">
      <alignment horizontal="center"/>
    </xf>
    <xf numFmtId="0" fontId="5" fillId="0" borderId="1" xfId="0" applyFont="1" applyBorder="1" applyAlignment="1">
      <alignment horizontal="center"/>
    </xf>
    <xf numFmtId="0" fontId="6" fillId="0" borderId="0" xfId="0" applyFont="1"/>
    <xf numFmtId="10" fontId="6" fillId="0" borderId="1" xfId="3" applyNumberFormat="1" applyFont="1" applyBorder="1" applyAlignment="1">
      <alignment horizontal="center"/>
    </xf>
    <xf numFmtId="0" fontId="0" fillId="0" borderId="0" xfId="0" applyAlignment="1">
      <alignment horizontal="center"/>
    </xf>
    <xf numFmtId="2" fontId="6" fillId="0" borderId="1" xfId="0" applyNumberFormat="1" applyFont="1" applyBorder="1" applyAlignment="1">
      <alignment horizontal="center"/>
    </xf>
    <xf numFmtId="0" fontId="9" fillId="0" borderId="0" xfId="0" applyFont="1" applyAlignment="1">
      <alignment horizontal="center"/>
    </xf>
    <xf numFmtId="10" fontId="0" fillId="0" borderId="0" xfId="0" applyNumberFormat="1" applyAlignment="1">
      <alignment horizontal="center"/>
    </xf>
    <xf numFmtId="0" fontId="0" fillId="0" borderId="0" xfId="0" applyProtection="1">
      <protection locked="0"/>
    </xf>
    <xf numFmtId="0" fontId="6" fillId="0" borderId="0" xfId="0" applyFont="1" applyAlignment="1">
      <alignment horizontal="left"/>
    </xf>
    <xf numFmtId="0" fontId="0" fillId="0" borderId="0" xfId="0" applyAlignment="1">
      <alignment horizontal="left"/>
    </xf>
    <xf numFmtId="2" fontId="0" fillId="0" borderId="0" xfId="0" applyNumberFormat="1"/>
    <xf numFmtId="0" fontId="12" fillId="0" borderId="1" xfId="0" applyFont="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6" fillId="0" borderId="1" xfId="3" applyNumberFormat="1" applyFont="1" applyFill="1" applyBorder="1" applyAlignment="1">
      <alignment horizontal="center"/>
    </xf>
    <xf numFmtId="10" fontId="20" fillId="0" borderId="1" xfId="0" applyNumberFormat="1" applyFont="1" applyBorder="1" applyAlignment="1">
      <alignment horizontal="center"/>
    </xf>
    <xf numFmtId="10" fontId="21" fillId="0" borderId="1" xfId="0" applyNumberFormat="1" applyFont="1" applyBorder="1" applyAlignment="1">
      <alignment horizontal="center"/>
    </xf>
    <xf numFmtId="0" fontId="6" fillId="2" borderId="1" xfId="0" applyFont="1" applyFill="1" applyBorder="1" applyAlignment="1">
      <alignment horizontal="center"/>
    </xf>
    <xf numFmtId="0" fontId="20" fillId="0" borderId="0" xfId="0" applyFont="1" applyAlignment="1">
      <alignment horizontal="center"/>
    </xf>
    <xf numFmtId="10" fontId="20" fillId="0" borderId="5" xfId="0" applyNumberFormat="1" applyFont="1" applyBorder="1" applyAlignment="1">
      <alignment horizontal="center"/>
    </xf>
    <xf numFmtId="0" fontId="20" fillId="0" borderId="4" xfId="0" applyFont="1" applyBorder="1" applyAlignment="1">
      <alignment horizontal="center" wrapText="1"/>
    </xf>
    <xf numFmtId="0" fontId="6" fillId="0" borderId="7" xfId="0" applyFont="1" applyBorder="1" applyAlignment="1">
      <alignment horizontal="center"/>
    </xf>
    <xf numFmtId="0" fontId="12" fillId="0" borderId="8" xfId="0" applyFont="1" applyBorder="1"/>
    <xf numFmtId="0" fontId="12" fillId="0" borderId="9" xfId="0" applyFont="1" applyBorder="1"/>
    <xf numFmtId="0" fontId="12" fillId="0" borderId="10" xfId="0" applyFont="1" applyBorder="1" applyAlignment="1">
      <alignment horizontal="center"/>
    </xf>
    <xf numFmtId="0" fontId="20" fillId="0" borderId="11" xfId="0" applyFont="1" applyBorder="1" applyAlignment="1">
      <alignment horizontal="center" wrapText="1"/>
    </xf>
    <xf numFmtId="0" fontId="6" fillId="0" borderId="0" xfId="0" applyFont="1" applyAlignment="1">
      <alignment wrapText="1"/>
    </xf>
    <xf numFmtId="0" fontId="6" fillId="0" borderId="12" xfId="0" applyFont="1" applyBorder="1" applyAlignment="1">
      <alignment horizontal="center"/>
    </xf>
    <xf numFmtId="2" fontId="23" fillId="0" borderId="1" xfId="0" applyNumberFormat="1" applyFont="1" applyBorder="1" applyAlignment="1">
      <alignment horizontal="center"/>
    </xf>
    <xf numFmtId="10" fontId="6" fillId="0" borderId="0" xfId="3" applyNumberFormat="1" applyFont="1" applyBorder="1" applyAlignment="1">
      <alignment horizontal="center"/>
    </xf>
    <xf numFmtId="10" fontId="6" fillId="0" borderId="0" xfId="3" applyNumberFormat="1" applyFont="1" applyFill="1" applyBorder="1" applyAlignment="1">
      <alignment horizontal="center"/>
    </xf>
    <xf numFmtId="10" fontId="0" fillId="0" borderId="0" xfId="3" applyNumberFormat="1" applyFont="1"/>
    <xf numFmtId="10" fontId="6" fillId="0" borderId="0" xfId="0" applyNumberFormat="1" applyFont="1" applyAlignment="1">
      <alignment horizontal="center"/>
    </xf>
    <xf numFmtId="10" fontId="0" fillId="0" borderId="0" xfId="3" applyNumberFormat="1" applyFont="1" applyAlignment="1">
      <alignment horizontal="center"/>
    </xf>
    <xf numFmtId="10" fontId="6" fillId="0" borderId="5" xfId="3" applyNumberFormat="1" applyFont="1" applyBorder="1" applyAlignment="1">
      <alignment horizontal="center"/>
    </xf>
    <xf numFmtId="0" fontId="14" fillId="3" borderId="0" xfId="0" applyFont="1" applyFill="1"/>
    <xf numFmtId="177" fontId="0" fillId="0" borderId="0" xfId="0" applyNumberFormat="1"/>
    <xf numFmtId="178" fontId="0" fillId="0" borderId="0" xfId="0" applyNumberFormat="1"/>
    <xf numFmtId="0" fontId="0" fillId="0" borderId="0" xfId="0" applyAlignment="1">
      <alignment horizontal="right"/>
    </xf>
    <xf numFmtId="0" fontId="2" fillId="0" borderId="0" xfId="0" applyFont="1"/>
    <xf numFmtId="10" fontId="0" fillId="0" borderId="0" xfId="3" applyNumberFormat="1" applyFont="1" applyProtection="1">
      <protection locked="0"/>
    </xf>
    <xf numFmtId="0" fontId="12" fillId="0" borderId="0" xfId="0" applyFont="1"/>
    <xf numFmtId="0" fontId="24" fillId="0" borderId="1" xfId="0" applyFont="1" applyBorder="1" applyAlignment="1">
      <alignment vertical="center" wrapText="1"/>
    </xf>
    <xf numFmtId="0" fontId="12" fillId="0" borderId="1" xfId="0" applyFont="1" applyBorder="1" applyAlignment="1">
      <alignment vertical="top" wrapText="1"/>
    </xf>
    <xf numFmtId="0" fontId="24" fillId="0" borderId="1" xfId="0" applyFont="1" applyBorder="1" applyAlignment="1">
      <alignment vertical="center"/>
    </xf>
    <xf numFmtId="0" fontId="12" fillId="0" borderId="1" xfId="0" applyFont="1" applyBorder="1" applyAlignment="1">
      <alignment wrapText="1"/>
    </xf>
    <xf numFmtId="0" fontId="12" fillId="0" borderId="1" xfId="0" applyFont="1" applyBorder="1"/>
    <xf numFmtId="0" fontId="24" fillId="0" borderId="1" xfId="0" applyFont="1" applyBorder="1" applyAlignment="1">
      <alignment horizontal="left" vertical="center"/>
    </xf>
    <xf numFmtId="0" fontId="24" fillId="0" borderId="1" xfId="0" applyFont="1" applyBorder="1" applyAlignment="1">
      <alignment wrapText="1"/>
    </xf>
    <xf numFmtId="0" fontId="24" fillId="0" borderId="1" xfId="0" applyFont="1" applyBorder="1" applyAlignment="1">
      <alignment horizontal="left" vertical="top" wrapText="1"/>
    </xf>
    <xf numFmtId="0" fontId="17" fillId="0" borderId="13" xfId="0" applyFont="1" applyBorder="1" applyAlignment="1">
      <alignment vertical="center"/>
    </xf>
    <xf numFmtId="0" fontId="18" fillId="0" borderId="13" xfId="0" applyFont="1" applyBorder="1" applyAlignment="1">
      <alignment wrapText="1"/>
    </xf>
    <xf numFmtId="10" fontId="25" fillId="0" borderId="1" xfId="0" applyNumberFormat="1" applyFont="1" applyBorder="1" applyAlignment="1">
      <alignment horizontal="center"/>
    </xf>
    <xf numFmtId="14" fontId="0" fillId="0" borderId="0" xfId="0" applyNumberFormat="1"/>
    <xf numFmtId="0" fontId="3" fillId="0" borderId="0" xfId="0" applyFont="1"/>
    <xf numFmtId="10" fontId="20" fillId="0" borderId="2" xfId="0" applyNumberFormat="1" applyFont="1" applyBorder="1" applyAlignment="1">
      <alignment horizontal="center"/>
    </xf>
    <xf numFmtId="0" fontId="19" fillId="4" borderId="0" xfId="0" applyFont="1" applyFill="1" applyAlignment="1">
      <alignment horizontal="center"/>
    </xf>
    <xf numFmtId="0" fontId="0" fillId="4" borderId="0" xfId="0" applyFill="1" applyAlignment="1">
      <alignment horizontal="center"/>
    </xf>
    <xf numFmtId="0" fontId="11" fillId="4" borderId="0" xfId="0" applyFont="1" applyFill="1" applyAlignment="1">
      <alignment horizontal="center"/>
    </xf>
    <xf numFmtId="2" fontId="15" fillId="4" borderId="0" xfId="0" applyNumberFormat="1" applyFont="1" applyFill="1" applyAlignment="1">
      <alignment horizontal="center"/>
    </xf>
    <xf numFmtId="0" fontId="8" fillId="0" borderId="0" xfId="2" applyAlignment="1" applyProtection="1"/>
    <xf numFmtId="2" fontId="0" fillId="0" borderId="0" xfId="0" applyNumberFormat="1" applyAlignment="1">
      <alignment horizontal="center"/>
    </xf>
    <xf numFmtId="1" fontId="0" fillId="0" borderId="0" xfId="0" applyNumberFormat="1"/>
    <xf numFmtId="176" fontId="0" fillId="0" borderId="0" xfId="1" applyFont="1"/>
    <xf numFmtId="10" fontId="27" fillId="5" borderId="10" xfId="0" applyNumberFormat="1" applyFont="1" applyFill="1" applyBorder="1" applyAlignment="1">
      <alignment horizontal="center"/>
    </xf>
    <xf numFmtId="10" fontId="27" fillId="5" borderId="1" xfId="0" applyNumberFormat="1" applyFont="1" applyFill="1" applyBorder="1" applyAlignment="1">
      <alignment horizontal="center"/>
    </xf>
    <xf numFmtId="0" fontId="27" fillId="5" borderId="9" xfId="0" applyFont="1" applyFill="1" applyBorder="1"/>
    <xf numFmtId="0" fontId="28" fillId="0" borderId="9" xfId="0" applyFont="1" applyBorder="1"/>
    <xf numFmtId="10" fontId="29" fillId="0" borderId="1" xfId="0" applyNumberFormat="1" applyFont="1" applyBorder="1" applyAlignment="1">
      <alignment horizontal="center"/>
    </xf>
    <xf numFmtId="10" fontId="28" fillId="0" borderId="1" xfId="0" applyNumberFormat="1" applyFont="1" applyBorder="1" applyAlignment="1">
      <alignment horizontal="center"/>
    </xf>
    <xf numFmtId="10" fontId="28" fillId="0" borderId="10" xfId="0" applyNumberFormat="1" applyFont="1" applyBorder="1" applyAlignment="1">
      <alignment horizontal="center"/>
    </xf>
    <xf numFmtId="0" fontId="28" fillId="0" borderId="15" xfId="0" applyFont="1" applyBorder="1"/>
    <xf numFmtId="10" fontId="29" fillId="0" borderId="16" xfId="0" applyNumberFormat="1" applyFont="1" applyBorder="1" applyAlignment="1">
      <alignment horizontal="center"/>
    </xf>
    <xf numFmtId="0" fontId="28" fillId="0" borderId="16" xfId="0" applyFont="1" applyBorder="1" applyAlignment="1">
      <alignment horizontal="center"/>
    </xf>
    <xf numFmtId="0" fontId="28" fillId="0" borderId="17" xfId="0" applyFont="1" applyBorder="1" applyAlignment="1">
      <alignment horizontal="center"/>
    </xf>
    <xf numFmtId="10" fontId="30" fillId="5" borderId="23" xfId="0" applyNumberFormat="1" applyFont="1" applyFill="1" applyBorder="1" applyAlignment="1">
      <alignment horizontal="center"/>
    </xf>
    <xf numFmtId="10" fontId="30" fillId="5" borderId="24" xfId="0" applyNumberFormat="1" applyFont="1" applyFill="1" applyBorder="1" applyAlignment="1">
      <alignment horizontal="center"/>
    </xf>
    <xf numFmtId="2" fontId="0" fillId="4" borderId="0" xfId="0" applyNumberFormat="1" applyFill="1" applyAlignment="1">
      <alignment horizontal="center"/>
    </xf>
    <xf numFmtId="2" fontId="0" fillId="2" borderId="1" xfId="0" applyNumberFormat="1" applyFill="1" applyBorder="1" applyAlignment="1">
      <alignment horizontal="center"/>
    </xf>
    <xf numFmtId="2" fontId="26" fillId="0" borderId="0" xfId="0" applyNumberFormat="1" applyFont="1" applyAlignment="1">
      <alignment horizontal="center"/>
    </xf>
    <xf numFmtId="0" fontId="31" fillId="0" borderId="5" xfId="0" applyFont="1" applyBorder="1" applyAlignment="1">
      <alignment horizontal="center" wrapText="1"/>
    </xf>
    <xf numFmtId="0" fontId="32" fillId="5" borderId="28" xfId="0" applyFont="1" applyFill="1" applyBorder="1" applyAlignment="1">
      <alignment horizontal="center" wrapText="1"/>
    </xf>
    <xf numFmtId="0" fontId="32" fillId="5" borderId="29" xfId="0" applyFont="1" applyFill="1" applyBorder="1" applyAlignment="1">
      <alignment horizontal="center" wrapText="1"/>
    </xf>
    <xf numFmtId="0" fontId="1" fillId="6" borderId="5" xfId="0" applyFont="1" applyFill="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0" fontId="1" fillId="6" borderId="2" xfId="0" applyFont="1" applyFill="1" applyBorder="1" applyAlignment="1">
      <alignment horizontal="center"/>
    </xf>
    <xf numFmtId="0" fontId="1" fillId="0" borderId="2" xfId="0" applyFont="1" applyBorder="1" applyAlignment="1">
      <alignment horizontal="center"/>
    </xf>
    <xf numFmtId="0" fontId="1" fillId="0" borderId="27" xfId="0" applyFont="1" applyBorder="1" applyAlignment="1">
      <alignment horizontal="center"/>
    </xf>
    <xf numFmtId="0" fontId="33" fillId="0" borderId="13" xfId="0" applyFont="1" applyBorder="1" applyAlignment="1">
      <alignment horizontal="justify" vertical="center"/>
    </xf>
    <xf numFmtId="0" fontId="34" fillId="0" borderId="19" xfId="0" applyFont="1" applyBorder="1" applyAlignment="1">
      <alignment horizontal="justify" vertical="center"/>
    </xf>
    <xf numFmtId="0" fontId="33" fillId="7" borderId="30" xfId="0" applyFont="1" applyFill="1" applyBorder="1" applyAlignment="1">
      <alignment horizontal="justify" vertical="center"/>
    </xf>
    <xf numFmtId="10" fontId="33" fillId="7" borderId="31" xfId="0" applyNumberFormat="1" applyFont="1" applyFill="1" applyBorder="1" applyAlignment="1">
      <alignment horizontal="justify" vertical="center"/>
    </xf>
    <xf numFmtId="0" fontId="33" fillId="0" borderId="30" xfId="0" applyFont="1" applyBorder="1" applyAlignment="1">
      <alignment horizontal="justify" vertical="center"/>
    </xf>
    <xf numFmtId="10" fontId="33" fillId="0" borderId="31" xfId="0" applyNumberFormat="1" applyFont="1" applyBorder="1" applyAlignment="1">
      <alignment horizontal="justify" vertical="center"/>
    </xf>
    <xf numFmtId="0" fontId="33" fillId="0" borderId="31" xfId="0" applyFont="1" applyBorder="1" applyAlignment="1">
      <alignment horizontal="justify" vertical="center"/>
    </xf>
    <xf numFmtId="10" fontId="26" fillId="6" borderId="0" xfId="3" applyNumberFormat="1" applyFont="1" applyFill="1" applyAlignment="1">
      <alignment horizontal="center"/>
    </xf>
    <xf numFmtId="10" fontId="23" fillId="6" borderId="1" xfId="3" applyNumberFormat="1" applyFont="1" applyFill="1" applyBorder="1"/>
    <xf numFmtId="10" fontId="26" fillId="0" borderId="0" xfId="3" applyNumberFormat="1" applyFont="1" applyAlignment="1">
      <alignment horizontal="center"/>
    </xf>
    <xf numFmtId="10" fontId="23" fillId="0" borderId="1" xfId="0" applyNumberFormat="1" applyFont="1" applyBorder="1"/>
    <xf numFmtId="10" fontId="23" fillId="6" borderId="1" xfId="0" applyNumberFormat="1" applyFont="1" applyFill="1" applyBorder="1"/>
    <xf numFmtId="10" fontId="23" fillId="6" borderId="6" xfId="0" applyNumberFormat="1" applyFont="1" applyFill="1" applyBorder="1"/>
    <xf numFmtId="10" fontId="23" fillId="0" borderId="6" xfId="0" applyNumberFormat="1" applyFont="1" applyBorder="1"/>
    <xf numFmtId="10" fontId="26" fillId="0" borderId="32" xfId="3" applyNumberFormat="1" applyFont="1" applyBorder="1" applyAlignment="1">
      <alignment horizontal="center"/>
    </xf>
    <xf numFmtId="10" fontId="23" fillId="0" borderId="27" xfId="0" applyNumberFormat="1" applyFont="1" applyBorder="1"/>
    <xf numFmtId="0" fontId="32" fillId="5" borderId="33" xfId="0" applyFont="1" applyFill="1" applyBorder="1" applyAlignment="1">
      <alignment horizontal="center" wrapText="1"/>
    </xf>
    <xf numFmtId="176" fontId="1" fillId="6" borderId="20" xfId="1" applyFont="1" applyFill="1" applyBorder="1" applyAlignment="1">
      <alignment horizontal="center"/>
    </xf>
    <xf numFmtId="176" fontId="1" fillId="0" borderId="3" xfId="1" applyFont="1" applyBorder="1" applyAlignment="1">
      <alignment horizontal="center"/>
    </xf>
    <xf numFmtId="179" fontId="0" fillId="0" borderId="0" xfId="0" applyNumberFormat="1"/>
    <xf numFmtId="180" fontId="0" fillId="0" borderId="0" xfId="0" applyNumberFormat="1"/>
    <xf numFmtId="180" fontId="36" fillId="0" borderId="0" xfId="0" applyNumberFormat="1" applyFont="1"/>
    <xf numFmtId="181" fontId="0" fillId="0" borderId="0" xfId="0" applyNumberFormat="1"/>
    <xf numFmtId="0" fontId="12" fillId="0" borderId="0" xfId="0" applyFont="1" applyAlignment="1">
      <alignment horizontal="center"/>
    </xf>
    <xf numFmtId="2" fontId="20" fillId="3" borderId="0" xfId="0" applyNumberFormat="1" applyFont="1" applyFill="1" applyAlignment="1">
      <alignment horizontal="center"/>
    </xf>
    <xf numFmtId="2" fontId="20" fillId="0" borderId="0" xfId="0" applyNumberFormat="1" applyFont="1" applyAlignment="1">
      <alignment horizontal="center"/>
    </xf>
    <xf numFmtId="0" fontId="22" fillId="0" borderId="0" xfId="0" applyFont="1"/>
    <xf numFmtId="1" fontId="0" fillId="0" borderId="0" xfId="0" applyNumberFormat="1" applyAlignment="1">
      <alignment horizontal="center"/>
    </xf>
    <xf numFmtId="0" fontId="32" fillId="5" borderId="5" xfId="0" applyFont="1" applyFill="1" applyBorder="1" applyAlignment="1">
      <alignment horizontal="center" wrapText="1"/>
    </xf>
    <xf numFmtId="0" fontId="37" fillId="0" borderId="0" xfId="0" applyFont="1"/>
    <xf numFmtId="0" fontId="39" fillId="0" borderId="4" xfId="0" applyFont="1" applyBorder="1" applyAlignment="1">
      <alignment horizontal="center" wrapText="1"/>
    </xf>
    <xf numFmtId="0" fontId="40" fillId="5" borderId="23" xfId="0" applyFont="1" applyFill="1" applyBorder="1" applyAlignment="1">
      <alignment horizontal="center" wrapText="1"/>
    </xf>
    <xf numFmtId="0" fontId="37" fillId="0" borderId="5" xfId="0" applyFont="1" applyBorder="1" applyAlignment="1">
      <alignment horizontal="center"/>
    </xf>
    <xf numFmtId="10" fontId="41" fillId="5" borderId="23" xfId="0" applyNumberFormat="1" applyFont="1" applyFill="1" applyBorder="1" applyAlignment="1">
      <alignment horizontal="center"/>
    </xf>
    <xf numFmtId="0" fontId="37" fillId="0" borderId="0" xfId="0" applyFont="1" applyAlignment="1">
      <alignment horizontal="center"/>
    </xf>
    <xf numFmtId="0" fontId="37" fillId="0" borderId="2" xfId="0" applyFont="1" applyBorder="1" applyAlignment="1">
      <alignment horizontal="center"/>
    </xf>
    <xf numFmtId="0" fontId="37" fillId="0" borderId="6" xfId="0" applyFont="1" applyBorder="1" applyAlignment="1">
      <alignment horizontal="center"/>
    </xf>
    <xf numFmtId="10" fontId="41" fillId="5" borderId="34" xfId="0" applyNumberFormat="1" applyFont="1" applyFill="1" applyBorder="1" applyAlignment="1">
      <alignment horizontal="center"/>
    </xf>
    <xf numFmtId="0" fontId="16" fillId="0" borderId="1" xfId="0" applyFont="1" applyBorder="1" applyAlignment="1">
      <alignment horizontal="center"/>
    </xf>
    <xf numFmtId="0" fontId="2" fillId="0" borderId="1" xfId="0" applyFont="1" applyBorder="1" applyAlignment="1">
      <alignment horizontal="center"/>
    </xf>
    <xf numFmtId="0" fontId="7" fillId="0" borderId="26" xfId="0" applyFont="1" applyBorder="1" applyAlignment="1">
      <alignment horizontal="center"/>
    </xf>
    <xf numFmtId="0" fontId="7" fillId="0" borderId="25" xfId="0" applyFont="1" applyBorder="1" applyAlignment="1">
      <alignment horizontal="center"/>
    </xf>
    <xf numFmtId="0" fontId="38" fillId="5" borderId="23" xfId="0" applyFont="1" applyFill="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35" fillId="0" borderId="18" xfId="0" applyFont="1" applyBorder="1" applyAlignment="1">
      <alignment horizontal="center"/>
    </xf>
    <xf numFmtId="0" fontId="35" fillId="0" borderId="14" xfId="0" applyFont="1" applyBorder="1" applyAlignment="1">
      <alignment horizontal="center"/>
    </xf>
    <xf numFmtId="0" fontId="35" fillId="0" borderId="19" xfId="0" applyFont="1" applyBorder="1" applyAlignment="1">
      <alignment horizontal="center"/>
    </xf>
  </cellXfs>
  <cellStyles count="4">
    <cellStyle name="Currency" xfId="1" builtinId="4"/>
    <cellStyle name="Hyperlink" xfId="2" builtinId="8"/>
    <cellStyle name="Normal" xfId="0" builtinId="0"/>
    <cellStyle name="Percent" xfId="3" builtinId="5"/>
  </cellStyles>
  <dxfs count="27">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3.xml"/><Relationship Id="rId26" Type="http://schemas.openxmlformats.org/officeDocument/2006/relationships/styles" Target="styles.xml"/><Relationship Id="rId3" Type="http://schemas.openxmlformats.org/officeDocument/2006/relationships/chartsheet" Target="chartsheets/sheet1.xml"/><Relationship Id="rId21" Type="http://schemas.openxmlformats.org/officeDocument/2006/relationships/worksheet" Target="worksheets/sheet16.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hartsheet" Target="chartsheets/sheet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hartsheet" Target="chartsheets/sheet4.xml"/><Relationship Id="rId20" Type="http://schemas.openxmlformats.org/officeDocument/2006/relationships/worksheet" Target="worksheets/sheet15.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worksheet" Target="worksheets/sheet9.xml"/><Relationship Id="rId24" Type="http://schemas.openxmlformats.org/officeDocument/2006/relationships/worksheet" Target="worksheets/sheet19.xml"/><Relationship Id="rId5" Type="http://schemas.openxmlformats.org/officeDocument/2006/relationships/worksheet" Target="worksheets/sheet4.xml"/><Relationship Id="rId15" Type="http://schemas.openxmlformats.org/officeDocument/2006/relationships/chartsheet" Target="chartsheets/sheet3.xml"/><Relationship Id="rId23" Type="http://schemas.openxmlformats.org/officeDocument/2006/relationships/worksheet" Target="worksheets/sheet18.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4.xml"/><Relationship Id="rId4" Type="http://schemas.openxmlformats.org/officeDocument/2006/relationships/worksheet" Target="worksheets/sheet3.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worksheet" Target="worksheets/sheet17.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i="1"/>
              <a:t>S&amp;P 500: A</a:t>
            </a:r>
            <a:r>
              <a:rPr lang="en-US" i="1" baseline="0"/>
              <a:t> Pricing History</a:t>
            </a:r>
            <a:endParaRPr lang="en-US" i="1"/>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'S&amp;P 500 &amp; Raw Data'!$B$2</c:f>
              <c:strCache>
                <c:ptCount val="1"/>
                <c:pt idx="0">
                  <c:v>S&amp;P 500</c:v>
                </c:pt>
              </c:strCache>
            </c:strRef>
          </c:tx>
          <c:spPr>
            <a:ln w="28575" cap="rnd">
              <a:solidFill>
                <a:schemeClr val="accent2"/>
              </a:solidFill>
              <a:round/>
            </a:ln>
            <a:effectLst/>
          </c:spPr>
          <c:marker>
            <c:symbol val="none"/>
          </c:marker>
          <c:cat>
            <c:numRef>
              <c:f>'S&amp;P 500 &amp; Raw Data'!$A$3:$A$102</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cat>
          <c:val>
            <c:numRef>
              <c:f>'S&amp;P 500 &amp; Raw Data'!$B$3:$B$102</c:f>
              <c:numCache>
                <c:formatCode>General</c:formatCode>
                <c:ptCount val="100"/>
                <c:pt idx="0">
                  <c:v>17.66</c:v>
                </c:pt>
                <c:pt idx="1">
                  <c:v>24.35</c:v>
                </c:pt>
                <c:pt idx="2">
                  <c:v>21.45</c:v>
                </c:pt>
                <c:pt idx="3">
                  <c:v>15.34</c:v>
                </c:pt>
                <c:pt idx="4">
                  <c:v>8.1199999999999992</c:v>
                </c:pt>
                <c:pt idx="5">
                  <c:v>6.92</c:v>
                </c:pt>
                <c:pt idx="6">
                  <c:v>9.9700000000000006</c:v>
                </c:pt>
                <c:pt idx="7">
                  <c:v>9.5</c:v>
                </c:pt>
                <c:pt idx="8">
                  <c:v>13.43</c:v>
                </c:pt>
                <c:pt idx="9">
                  <c:v>17.18</c:v>
                </c:pt>
                <c:pt idx="10">
                  <c:v>10.55</c:v>
                </c:pt>
                <c:pt idx="11">
                  <c:v>13.14</c:v>
                </c:pt>
                <c:pt idx="12">
                  <c:v>12.46</c:v>
                </c:pt>
                <c:pt idx="13">
                  <c:v>10.58</c:v>
                </c:pt>
                <c:pt idx="14">
                  <c:v>8.69</c:v>
                </c:pt>
                <c:pt idx="15">
                  <c:v>9.77</c:v>
                </c:pt>
                <c:pt idx="16">
                  <c:v>11.67</c:v>
                </c:pt>
                <c:pt idx="17">
                  <c:v>13.28</c:v>
                </c:pt>
                <c:pt idx="18">
                  <c:v>17.36</c:v>
                </c:pt>
                <c:pt idx="19">
                  <c:v>15.3</c:v>
                </c:pt>
                <c:pt idx="20">
                  <c:v>15.3</c:v>
                </c:pt>
                <c:pt idx="21">
                  <c:v>15.2</c:v>
                </c:pt>
                <c:pt idx="22">
                  <c:v>16.79</c:v>
                </c:pt>
                <c:pt idx="23">
                  <c:v>20.43</c:v>
                </c:pt>
                <c:pt idx="24">
                  <c:v>23.77</c:v>
                </c:pt>
                <c:pt idx="25">
                  <c:v>26.57</c:v>
                </c:pt>
                <c:pt idx="26">
                  <c:v>24.81</c:v>
                </c:pt>
                <c:pt idx="27">
                  <c:v>35.979999999999997</c:v>
                </c:pt>
                <c:pt idx="28">
                  <c:v>45.48</c:v>
                </c:pt>
                <c:pt idx="29">
                  <c:v>46.67</c:v>
                </c:pt>
                <c:pt idx="30">
                  <c:v>39.99</c:v>
                </c:pt>
                <c:pt idx="31">
                  <c:v>55.21</c:v>
                </c:pt>
                <c:pt idx="32">
                  <c:v>59.89</c:v>
                </c:pt>
                <c:pt idx="33">
                  <c:v>58.11</c:v>
                </c:pt>
                <c:pt idx="34">
                  <c:v>71.55</c:v>
                </c:pt>
                <c:pt idx="35">
                  <c:v>63.1</c:v>
                </c:pt>
                <c:pt idx="36">
                  <c:v>75.02</c:v>
                </c:pt>
                <c:pt idx="37">
                  <c:v>84.75</c:v>
                </c:pt>
                <c:pt idx="38">
                  <c:v>92.43</c:v>
                </c:pt>
                <c:pt idx="39">
                  <c:v>80.33</c:v>
                </c:pt>
                <c:pt idx="40">
                  <c:v>96.47</c:v>
                </c:pt>
                <c:pt idx="41">
                  <c:v>103.86</c:v>
                </c:pt>
                <c:pt idx="42">
                  <c:v>92.06</c:v>
                </c:pt>
                <c:pt idx="43">
                  <c:v>92.15</c:v>
                </c:pt>
                <c:pt idx="44">
                  <c:v>102.09</c:v>
                </c:pt>
                <c:pt idx="45">
                  <c:v>118.05</c:v>
                </c:pt>
                <c:pt idx="46">
                  <c:v>97.55</c:v>
                </c:pt>
                <c:pt idx="47">
                  <c:v>68.56</c:v>
                </c:pt>
                <c:pt idx="48">
                  <c:v>90.19</c:v>
                </c:pt>
                <c:pt idx="49">
                  <c:v>107.46</c:v>
                </c:pt>
                <c:pt idx="50">
                  <c:v>95.1</c:v>
                </c:pt>
                <c:pt idx="51">
                  <c:v>96.11</c:v>
                </c:pt>
                <c:pt idx="52">
                  <c:v>107.94</c:v>
                </c:pt>
                <c:pt idx="53">
                  <c:v>135.76</c:v>
                </c:pt>
                <c:pt idx="54">
                  <c:v>122.55</c:v>
                </c:pt>
                <c:pt idx="55">
                  <c:v>140.63999999999999</c:v>
                </c:pt>
                <c:pt idx="56">
                  <c:v>164.93</c:v>
                </c:pt>
                <c:pt idx="57">
                  <c:v>167.24</c:v>
                </c:pt>
                <c:pt idx="58">
                  <c:v>211.28</c:v>
                </c:pt>
                <c:pt idx="59">
                  <c:v>242.17</c:v>
                </c:pt>
                <c:pt idx="60">
                  <c:v>247.08</c:v>
                </c:pt>
                <c:pt idx="61">
                  <c:v>277.72000000000003</c:v>
                </c:pt>
                <c:pt idx="62">
                  <c:v>353.4</c:v>
                </c:pt>
                <c:pt idx="63">
                  <c:v>330.22</c:v>
                </c:pt>
                <c:pt idx="64">
                  <c:v>417.09</c:v>
                </c:pt>
                <c:pt idx="65">
                  <c:v>435.71</c:v>
                </c:pt>
                <c:pt idx="66">
                  <c:v>466.45</c:v>
                </c:pt>
                <c:pt idx="67">
                  <c:v>459.27</c:v>
                </c:pt>
                <c:pt idx="68">
                  <c:v>615.92999999999995</c:v>
                </c:pt>
                <c:pt idx="69">
                  <c:v>740.74</c:v>
                </c:pt>
                <c:pt idx="70">
                  <c:v>970.43</c:v>
                </c:pt>
                <c:pt idx="71">
                  <c:v>1229.23</c:v>
                </c:pt>
                <c:pt idx="72">
                  <c:v>1469.25</c:v>
                </c:pt>
                <c:pt idx="73">
                  <c:v>1320.28</c:v>
                </c:pt>
                <c:pt idx="74">
                  <c:v>1148.0899999999999</c:v>
                </c:pt>
                <c:pt idx="75">
                  <c:v>879.82</c:v>
                </c:pt>
                <c:pt idx="76">
                  <c:v>1111.9100000000001</c:v>
                </c:pt>
                <c:pt idx="77">
                  <c:v>1211.92</c:v>
                </c:pt>
                <c:pt idx="78">
                  <c:v>1248.29</c:v>
                </c:pt>
                <c:pt idx="79">
                  <c:v>1418.3</c:v>
                </c:pt>
                <c:pt idx="80">
                  <c:v>1468.36</c:v>
                </c:pt>
                <c:pt idx="81">
                  <c:v>903.25</c:v>
                </c:pt>
                <c:pt idx="82">
                  <c:v>1115.0999999999999</c:v>
                </c:pt>
                <c:pt idx="83">
                  <c:v>1257.6400000000001</c:v>
                </c:pt>
                <c:pt idx="84">
                  <c:v>1257.5999999999999</c:v>
                </c:pt>
                <c:pt idx="85">
                  <c:v>1426.19</c:v>
                </c:pt>
                <c:pt idx="86">
                  <c:v>1848.36</c:v>
                </c:pt>
                <c:pt idx="87">
                  <c:v>2058.9</c:v>
                </c:pt>
                <c:pt idx="88">
                  <c:v>2043.9</c:v>
                </c:pt>
                <c:pt idx="89">
                  <c:v>2238.83</c:v>
                </c:pt>
                <c:pt idx="90">
                  <c:v>2673.61</c:v>
                </c:pt>
                <c:pt idx="91">
                  <c:v>2506.85</c:v>
                </c:pt>
                <c:pt idx="92">
                  <c:v>3230.78</c:v>
                </c:pt>
                <c:pt idx="93">
                  <c:v>3756.07</c:v>
                </c:pt>
                <c:pt idx="94">
                  <c:v>4766.18</c:v>
                </c:pt>
                <c:pt idx="95">
                  <c:v>3839.5</c:v>
                </c:pt>
                <c:pt idx="96">
                  <c:v>4769.8</c:v>
                </c:pt>
                <c:pt idx="97">
                  <c:v>5881.63</c:v>
                </c:pt>
                <c:pt idx="98">
                  <c:v>6845.5</c:v>
                </c:pt>
              </c:numCache>
            </c:numRef>
          </c:val>
          <c:smooth val="0"/>
          <c:extLst>
            <c:ext xmlns:c16="http://schemas.microsoft.com/office/drawing/2014/chart" uri="{C3380CC4-5D6E-409C-BE32-E72D297353CC}">
              <c16:uniqueId val="{00000001-00C5-6740-9474-861917FCF8D8}"/>
            </c:ext>
          </c:extLst>
        </c:ser>
        <c:dLbls>
          <c:showLegendKey val="0"/>
          <c:showVal val="0"/>
          <c:showCatName val="0"/>
          <c:showSerName val="0"/>
          <c:showPercent val="0"/>
          <c:showBubbleSize val="0"/>
        </c:dLbls>
        <c:smooth val="0"/>
        <c:axId val="1070804272"/>
        <c:axId val="1070681984"/>
      </c:lineChart>
      <c:catAx>
        <c:axId val="10708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681984"/>
        <c:crosses val="autoZero"/>
        <c:auto val="1"/>
        <c:lblAlgn val="ctr"/>
        <c:lblOffset val="100"/>
        <c:noMultiLvlLbl val="0"/>
      </c:catAx>
      <c:valAx>
        <c:axId val="10706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04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T.Bond rate: 1927 - 2024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'T. Bond yield &amp; return'!$B$7</c:f>
              <c:strCache>
                <c:ptCount val="1"/>
                <c:pt idx="0">
                  <c:v>T.Bond rate</c:v>
                </c:pt>
              </c:strCache>
            </c:strRef>
          </c:tx>
          <c:spPr>
            <a:ln w="28575" cap="rnd">
              <a:solidFill>
                <a:schemeClr val="accent2"/>
              </a:solidFill>
              <a:round/>
            </a:ln>
            <a:effectLst/>
          </c:spPr>
          <c:marker>
            <c:symbol val="none"/>
          </c:marker>
          <c:cat>
            <c:numRef>
              <c:f>'T. Bond yield &amp; return'!$A$8:$A$105</c:f>
              <c:numCache>
                <c:formatCode>General</c:formatCode>
                <c:ptCount val="98"/>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numCache>
            </c:numRef>
          </c:cat>
          <c:val>
            <c:numRef>
              <c:f>'T. Bond yield &amp; return'!$B$8:$B$105</c:f>
              <c:numCache>
                <c:formatCode>0.00%</c:formatCode>
                <c:ptCount val="98"/>
                <c:pt idx="0">
                  <c:v>3.1699999999999999E-2</c:v>
                </c:pt>
                <c:pt idx="1">
                  <c:v>3.4500000000000003E-2</c:v>
                </c:pt>
                <c:pt idx="2">
                  <c:v>3.3599999999999998E-2</c:v>
                </c:pt>
                <c:pt idx="3">
                  <c:v>3.2199999999999999E-2</c:v>
                </c:pt>
                <c:pt idx="4">
                  <c:v>3.9300000000000002E-2</c:v>
                </c:pt>
                <c:pt idx="5">
                  <c:v>3.3500000000000002E-2</c:v>
                </c:pt>
                <c:pt idx="6">
                  <c:v>3.5299999999999998E-2</c:v>
                </c:pt>
                <c:pt idx="7">
                  <c:v>3.0099999999999998E-2</c:v>
                </c:pt>
                <c:pt idx="8">
                  <c:v>2.8400000000000002E-2</c:v>
                </c:pt>
                <c:pt idx="9">
                  <c:v>2.5899999999999999E-2</c:v>
                </c:pt>
                <c:pt idx="10">
                  <c:v>2.7300000000000001E-2</c:v>
                </c:pt>
                <c:pt idx="11">
                  <c:v>2.5600000000000001E-2</c:v>
                </c:pt>
                <c:pt idx="12">
                  <c:v>2.35E-2</c:v>
                </c:pt>
                <c:pt idx="13">
                  <c:v>2.01E-2</c:v>
                </c:pt>
                <c:pt idx="14">
                  <c:v>2.47E-2</c:v>
                </c:pt>
                <c:pt idx="15">
                  <c:v>2.4899999999999999E-2</c:v>
                </c:pt>
                <c:pt idx="16">
                  <c:v>2.4899999999999999E-2</c:v>
                </c:pt>
                <c:pt idx="17">
                  <c:v>2.4799999999999999E-2</c:v>
                </c:pt>
                <c:pt idx="18">
                  <c:v>2.3300000000000001E-2</c:v>
                </c:pt>
                <c:pt idx="19">
                  <c:v>2.24E-2</c:v>
                </c:pt>
                <c:pt idx="20">
                  <c:v>2.3900000000000001E-2</c:v>
                </c:pt>
                <c:pt idx="21">
                  <c:v>2.4400000000000002E-2</c:v>
                </c:pt>
                <c:pt idx="22">
                  <c:v>2.1899999999999999E-2</c:v>
                </c:pt>
                <c:pt idx="23">
                  <c:v>2.3900000000000001E-2</c:v>
                </c:pt>
                <c:pt idx="24">
                  <c:v>2.7E-2</c:v>
                </c:pt>
                <c:pt idx="25">
                  <c:v>2.75E-2</c:v>
                </c:pt>
                <c:pt idx="26">
                  <c:v>2.5899999999999999E-2</c:v>
                </c:pt>
                <c:pt idx="27">
                  <c:v>2.5100000000000001E-2</c:v>
                </c:pt>
                <c:pt idx="28">
                  <c:v>2.9600000000000001E-2</c:v>
                </c:pt>
                <c:pt idx="29">
                  <c:v>3.5900000000000001E-2</c:v>
                </c:pt>
                <c:pt idx="30">
                  <c:v>3.2099999999999997E-2</c:v>
                </c:pt>
                <c:pt idx="31">
                  <c:v>3.8600000000000002E-2</c:v>
                </c:pt>
                <c:pt idx="32">
                  <c:v>4.6899999999999997E-2</c:v>
                </c:pt>
                <c:pt idx="33">
                  <c:v>3.8399999999999997E-2</c:v>
                </c:pt>
                <c:pt idx="34">
                  <c:v>4.0599999999999997E-2</c:v>
                </c:pt>
                <c:pt idx="35">
                  <c:v>3.8600000000000002E-2</c:v>
                </c:pt>
                <c:pt idx="36">
                  <c:v>4.1300000000000003E-2</c:v>
                </c:pt>
                <c:pt idx="37">
                  <c:v>4.1799999999999997E-2</c:v>
                </c:pt>
                <c:pt idx="38">
                  <c:v>4.6199999999999998E-2</c:v>
                </c:pt>
                <c:pt idx="39">
                  <c:v>4.8399999999999999E-2</c:v>
                </c:pt>
                <c:pt idx="40">
                  <c:v>5.7000000000000002E-2</c:v>
                </c:pt>
                <c:pt idx="41">
                  <c:v>6.0299999999999999E-2</c:v>
                </c:pt>
                <c:pt idx="42">
                  <c:v>7.6499999999999999E-2</c:v>
                </c:pt>
                <c:pt idx="43">
                  <c:v>6.3899999999999998E-2</c:v>
                </c:pt>
                <c:pt idx="44">
                  <c:v>5.9299999999999999E-2</c:v>
                </c:pt>
                <c:pt idx="45">
                  <c:v>6.3600000000000004E-2</c:v>
                </c:pt>
                <c:pt idx="46">
                  <c:v>6.7400000000000002E-2</c:v>
                </c:pt>
                <c:pt idx="47">
                  <c:v>7.4300000000000005E-2</c:v>
                </c:pt>
                <c:pt idx="48">
                  <c:v>0.08</c:v>
                </c:pt>
                <c:pt idx="49">
                  <c:v>6.8699999999999997E-2</c:v>
                </c:pt>
                <c:pt idx="50">
                  <c:v>7.6899999999999996E-2</c:v>
                </c:pt>
                <c:pt idx="51">
                  <c:v>9.01E-2</c:v>
                </c:pt>
                <c:pt idx="52">
                  <c:v>0.10390000000000001</c:v>
                </c:pt>
                <c:pt idx="53">
                  <c:v>0.12839999999999999</c:v>
                </c:pt>
                <c:pt idx="54">
                  <c:v>0.13719999999999999</c:v>
                </c:pt>
                <c:pt idx="55">
                  <c:v>0.10539999999999999</c:v>
                </c:pt>
                <c:pt idx="56">
                  <c:v>0.1183</c:v>
                </c:pt>
                <c:pt idx="57">
                  <c:v>0.115</c:v>
                </c:pt>
                <c:pt idx="58">
                  <c:v>9.2600000000000002E-2</c:v>
                </c:pt>
                <c:pt idx="59">
                  <c:v>7.1099999999999997E-2</c:v>
                </c:pt>
                <c:pt idx="60">
                  <c:v>8.9899999999999994E-2</c:v>
                </c:pt>
                <c:pt idx="61">
                  <c:v>9.11E-2</c:v>
                </c:pt>
                <c:pt idx="62">
                  <c:v>7.8399999999999997E-2</c:v>
                </c:pt>
                <c:pt idx="63">
                  <c:v>8.0799999999999997E-2</c:v>
                </c:pt>
                <c:pt idx="64">
                  <c:v>7.0900000000000005E-2</c:v>
                </c:pt>
                <c:pt idx="65">
                  <c:v>6.7699999999999996E-2</c:v>
                </c:pt>
                <c:pt idx="66">
                  <c:v>5.7700000000000001E-2</c:v>
                </c:pt>
                <c:pt idx="67">
                  <c:v>7.8100000000000003E-2</c:v>
                </c:pt>
                <c:pt idx="68">
                  <c:v>5.7099999999999998E-2</c:v>
                </c:pt>
                <c:pt idx="69">
                  <c:v>6.3E-2</c:v>
                </c:pt>
                <c:pt idx="70">
                  <c:v>5.8099999999999999E-2</c:v>
                </c:pt>
                <c:pt idx="71">
                  <c:v>4.65E-2</c:v>
                </c:pt>
                <c:pt idx="72">
                  <c:v>6.4399999999999999E-2</c:v>
                </c:pt>
                <c:pt idx="73">
                  <c:v>5.11E-2</c:v>
                </c:pt>
                <c:pt idx="74">
                  <c:v>5.0500000000000003E-2</c:v>
                </c:pt>
                <c:pt idx="75">
                  <c:v>3.8199999999999998E-2</c:v>
                </c:pt>
                <c:pt idx="76">
                  <c:v>4.2500000000000003E-2</c:v>
                </c:pt>
                <c:pt idx="77">
                  <c:v>4.2200000000000001E-2</c:v>
                </c:pt>
                <c:pt idx="78">
                  <c:v>4.3900000000000002E-2</c:v>
                </c:pt>
                <c:pt idx="79">
                  <c:v>4.7E-2</c:v>
                </c:pt>
                <c:pt idx="80">
                  <c:v>4.02E-2</c:v>
                </c:pt>
                <c:pt idx="81">
                  <c:v>2.2100000000000002E-2</c:v>
                </c:pt>
                <c:pt idx="82">
                  <c:v>3.8399999999999997E-2</c:v>
                </c:pt>
                <c:pt idx="83">
                  <c:v>3.2899999999999999E-2</c:v>
                </c:pt>
                <c:pt idx="84">
                  <c:v>1.8800000000000001E-2</c:v>
                </c:pt>
                <c:pt idx="85">
                  <c:v>1.7600000000000001E-2</c:v>
                </c:pt>
                <c:pt idx="86">
                  <c:v>3.0360000000000002E-2</c:v>
                </c:pt>
                <c:pt idx="87">
                  <c:v>2.1700000000000001E-2</c:v>
                </c:pt>
                <c:pt idx="88">
                  <c:v>2.2700000000000001E-2</c:v>
                </c:pt>
                <c:pt idx="89">
                  <c:v>2.4500000000000001E-2</c:v>
                </c:pt>
                <c:pt idx="90">
                  <c:v>2.41E-2</c:v>
                </c:pt>
                <c:pt idx="91">
                  <c:v>2.69E-2</c:v>
                </c:pt>
                <c:pt idx="92">
                  <c:v>1.9199999999999998E-2</c:v>
                </c:pt>
                <c:pt idx="93">
                  <c:v>9.2999999999999992E-3</c:v>
                </c:pt>
                <c:pt idx="94">
                  <c:v>1.5100000000000001E-2</c:v>
                </c:pt>
                <c:pt idx="95">
                  <c:v>3.8800000000000001E-2</c:v>
                </c:pt>
                <c:pt idx="96">
                  <c:v>3.8800000000000001E-2</c:v>
                </c:pt>
                <c:pt idx="97">
                  <c:v>4.58E-2</c:v>
                </c:pt>
              </c:numCache>
            </c:numRef>
          </c:val>
          <c:smooth val="0"/>
          <c:extLst>
            <c:ext xmlns:c16="http://schemas.microsoft.com/office/drawing/2014/chart" uri="{C3380CC4-5D6E-409C-BE32-E72D297353CC}">
              <c16:uniqueId val="{00000001-C95D-C047-9776-9030FD263851}"/>
            </c:ext>
          </c:extLst>
        </c:ser>
        <c:dLbls>
          <c:showLegendKey val="0"/>
          <c:showVal val="0"/>
          <c:showCatName val="0"/>
          <c:showSerName val="0"/>
          <c:showPercent val="0"/>
          <c:showBubbleSize val="0"/>
        </c:dLbls>
        <c:smooth val="0"/>
        <c:axId val="83563728"/>
        <c:axId val="1260155551"/>
      </c:lineChart>
      <c:catAx>
        <c:axId val="8356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155551"/>
        <c:crosses val="autoZero"/>
        <c:auto val="1"/>
        <c:lblAlgn val="ctr"/>
        <c:lblOffset val="100"/>
        <c:noMultiLvlLbl val="0"/>
      </c:catAx>
      <c:valAx>
        <c:axId val="1260155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i="1"/>
              <a:t>Figure</a:t>
            </a:r>
            <a:r>
              <a:rPr lang="en-US" i="1" baseline="0"/>
              <a:t> 3: Annual Returns on US Stocks and US Treasuries</a:t>
            </a:r>
            <a:endParaRPr lang="en-US" i="1"/>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'Nominal vs Real Data'!$B$1</c:f>
              <c:strCache>
                <c:ptCount val="1"/>
                <c:pt idx="0">
                  <c:v>S&amp;P 500 (includes dividends)</c:v>
                </c:pt>
              </c:strCache>
            </c:strRef>
          </c:tx>
          <c:spPr>
            <a:ln w="28575" cap="rnd">
              <a:solidFill>
                <a:schemeClr val="accent2"/>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Data'!$B$2:$B$100</c:f>
              <c:numCache>
                <c:formatCode>0.00%</c:formatCode>
                <c:ptCount val="99"/>
                <c:pt idx="0">
                  <c:v>0.43811155152887893</c:v>
                </c:pt>
                <c:pt idx="1">
                  <c:v>-8.2979466119096595E-2</c:v>
                </c:pt>
                <c:pt idx="2">
                  <c:v>-0.25123636363636365</c:v>
                </c:pt>
                <c:pt idx="3">
                  <c:v>-0.43837548891786188</c:v>
                </c:pt>
                <c:pt idx="4">
                  <c:v>-8.642364532019696E-2</c:v>
                </c:pt>
                <c:pt idx="5">
                  <c:v>0.49982225433526023</c:v>
                </c:pt>
                <c:pt idx="6">
                  <c:v>-1.1885656970912803E-2</c:v>
                </c:pt>
                <c:pt idx="7">
                  <c:v>0.46740421052631581</c:v>
                </c:pt>
                <c:pt idx="8">
                  <c:v>0.31943410275502609</c:v>
                </c:pt>
                <c:pt idx="9">
                  <c:v>-0.35336728754365537</c:v>
                </c:pt>
                <c:pt idx="10">
                  <c:v>0.29282654028436017</c:v>
                </c:pt>
                <c:pt idx="11">
                  <c:v>-1.0975646879756443E-2</c:v>
                </c:pt>
                <c:pt idx="12">
                  <c:v>-0.10672873194221515</c:v>
                </c:pt>
                <c:pt idx="13">
                  <c:v>-0.12771455576559551</c:v>
                </c:pt>
                <c:pt idx="14">
                  <c:v>0.19173762945914843</c:v>
                </c:pt>
                <c:pt idx="15">
                  <c:v>0.25061310133060394</c:v>
                </c:pt>
                <c:pt idx="16">
                  <c:v>0.19030676949443009</c:v>
                </c:pt>
                <c:pt idx="17">
                  <c:v>0.35821084337349401</c:v>
                </c:pt>
                <c:pt idx="18">
                  <c:v>-8.4291474654377807E-2</c:v>
                </c:pt>
                <c:pt idx="19">
                  <c:v>5.1999999999999998E-2</c:v>
                </c:pt>
                <c:pt idx="20">
                  <c:v>5.7045751633986834E-2</c:v>
                </c:pt>
                <c:pt idx="21">
                  <c:v>0.18303223684210526</c:v>
                </c:pt>
                <c:pt idx="22">
                  <c:v>0.30805539011316263</c:v>
                </c:pt>
                <c:pt idx="23">
                  <c:v>0.23678463044542339</c:v>
                </c:pt>
                <c:pt idx="24">
                  <c:v>0.18150988641144306</c:v>
                </c:pt>
                <c:pt idx="25">
                  <c:v>-1.2082047421904465E-2</c:v>
                </c:pt>
                <c:pt idx="26">
                  <c:v>0.52563321241434902</c:v>
                </c:pt>
                <c:pt idx="27">
                  <c:v>0.32597331851028349</c:v>
                </c:pt>
                <c:pt idx="28">
                  <c:v>7.4395118733509347E-2</c:v>
                </c:pt>
                <c:pt idx="29">
                  <c:v>-0.1045736018855796</c:v>
                </c:pt>
                <c:pt idx="30">
                  <c:v>0.43719954988747184</c:v>
                </c:pt>
                <c:pt idx="31">
                  <c:v>0.12056457163557326</c:v>
                </c:pt>
                <c:pt idx="32">
                  <c:v>3.36535314743695E-3</c:v>
                </c:pt>
                <c:pt idx="33">
                  <c:v>0.26637712958182752</c:v>
                </c:pt>
                <c:pt idx="34">
                  <c:v>-8.8114605171208879E-2</c:v>
                </c:pt>
                <c:pt idx="35">
                  <c:v>0.22611927099841514</c:v>
                </c:pt>
                <c:pt idx="36">
                  <c:v>0.16415455878432425</c:v>
                </c:pt>
                <c:pt idx="37">
                  <c:v>0.12399242477876114</c:v>
                </c:pt>
                <c:pt idx="38">
                  <c:v>-9.9709542356377898E-2</c:v>
                </c:pt>
                <c:pt idx="39">
                  <c:v>0.23802966513133328</c:v>
                </c:pt>
                <c:pt idx="40">
                  <c:v>0.10814862651601535</c:v>
                </c:pt>
                <c:pt idx="41">
                  <c:v>-8.2413710764490639E-2</c:v>
                </c:pt>
                <c:pt idx="42">
                  <c:v>3.5611449054964189E-2</c:v>
                </c:pt>
                <c:pt idx="43">
                  <c:v>0.14221150298426474</c:v>
                </c:pt>
                <c:pt idx="44">
                  <c:v>0.18755362915074925</c:v>
                </c:pt>
                <c:pt idx="45">
                  <c:v>-0.14308047437526472</c:v>
                </c:pt>
                <c:pt idx="46">
                  <c:v>-0.25901785750896972</c:v>
                </c:pt>
                <c:pt idx="47">
                  <c:v>0.36995137106184356</c:v>
                </c:pt>
                <c:pt idx="48">
                  <c:v>0.23830999002106662</c:v>
                </c:pt>
                <c:pt idx="49">
                  <c:v>-6.9797040759352322E-2</c:v>
                </c:pt>
                <c:pt idx="50">
                  <c:v>6.50928391167193E-2</c:v>
                </c:pt>
                <c:pt idx="51">
                  <c:v>0.18519490167516386</c:v>
                </c:pt>
                <c:pt idx="52">
                  <c:v>0.3173524550676301</c:v>
                </c:pt>
                <c:pt idx="53">
                  <c:v>-4.7023902474955762E-2</c:v>
                </c:pt>
                <c:pt idx="54">
                  <c:v>0.20419055079559353</c:v>
                </c:pt>
                <c:pt idx="55">
                  <c:v>0.22337155858930619</c:v>
                </c:pt>
                <c:pt idx="56">
                  <c:v>6.14614199963621E-2</c:v>
                </c:pt>
                <c:pt idx="57">
                  <c:v>0.31235149485768948</c:v>
                </c:pt>
                <c:pt idx="58">
                  <c:v>0.18494578758046187</c:v>
                </c:pt>
                <c:pt idx="59">
                  <c:v>5.8127216418218712E-2</c:v>
                </c:pt>
                <c:pt idx="60">
                  <c:v>0.16537192812044688</c:v>
                </c:pt>
                <c:pt idx="61">
                  <c:v>0.31475183638196724</c:v>
                </c:pt>
                <c:pt idx="62">
                  <c:v>-3.0644516129032118E-2</c:v>
                </c:pt>
                <c:pt idx="63">
                  <c:v>0.30234843134879757</c:v>
                </c:pt>
                <c:pt idx="64">
                  <c:v>7.493727972380064E-2</c:v>
                </c:pt>
                <c:pt idx="65">
                  <c:v>9.96705147919488E-2</c:v>
                </c:pt>
                <c:pt idx="66">
                  <c:v>1.3259206774573897E-2</c:v>
                </c:pt>
                <c:pt idx="67">
                  <c:v>0.37195198902606308</c:v>
                </c:pt>
                <c:pt idx="68">
                  <c:v>0.22680966018865789</c:v>
                </c:pt>
                <c:pt idx="69">
                  <c:v>0.33103653103653097</c:v>
                </c:pt>
                <c:pt idx="70">
                  <c:v>0.28337953278443584</c:v>
                </c:pt>
                <c:pt idx="71">
                  <c:v>0.20885350992084475</c:v>
                </c:pt>
                <c:pt idx="72">
                  <c:v>-9.0318189552492781E-2</c:v>
                </c:pt>
                <c:pt idx="73">
                  <c:v>-0.11849759142000185</c:v>
                </c:pt>
                <c:pt idx="74">
                  <c:v>-0.21966047957912699</c:v>
                </c:pt>
                <c:pt idx="75">
                  <c:v>0.28355800050010233</c:v>
                </c:pt>
                <c:pt idx="76">
                  <c:v>0.10742775944096193</c:v>
                </c:pt>
                <c:pt idx="77">
                  <c:v>4.8344775232688535E-2</c:v>
                </c:pt>
                <c:pt idx="78">
                  <c:v>0.15612557979315703</c:v>
                </c:pt>
                <c:pt idx="79">
                  <c:v>5.4847352464217694E-2</c:v>
                </c:pt>
                <c:pt idx="80">
                  <c:v>-0.36552344111798191</c:v>
                </c:pt>
                <c:pt idx="81">
                  <c:v>0.25935233877663982</c:v>
                </c:pt>
                <c:pt idx="82">
                  <c:v>0.14821092278719414</c:v>
                </c:pt>
                <c:pt idx="83">
                  <c:v>2.09837473362805E-2</c:v>
                </c:pt>
                <c:pt idx="84">
                  <c:v>0.15890585241730293</c:v>
                </c:pt>
                <c:pt idx="85">
                  <c:v>0.32145085858125483</c:v>
                </c:pt>
                <c:pt idx="86">
                  <c:v>0.13524421649462237</c:v>
                </c:pt>
                <c:pt idx="87">
                  <c:v>1.3788916411676138E-2</c:v>
                </c:pt>
                <c:pt idx="88">
                  <c:v>0.11773080874798171</c:v>
                </c:pt>
                <c:pt idx="89">
                  <c:v>0.2160548143449928</c:v>
                </c:pt>
                <c:pt idx="90">
                  <c:v>-4.2268692890885438E-2</c:v>
                </c:pt>
                <c:pt idx="91">
                  <c:v>0.31211679996808755</c:v>
                </c:pt>
                <c:pt idx="92">
                  <c:v>0.18023201827422478</c:v>
                </c:pt>
                <c:pt idx="93">
                  <c:v>0.28468851751964158</c:v>
                </c:pt>
                <c:pt idx="94">
                  <c:v>-0.18037505927178585</c:v>
                </c:pt>
                <c:pt idx="95">
                  <c:v>0.26060684985024096</c:v>
                </c:pt>
                <c:pt idx="96">
                  <c:v>0.24878611262526726</c:v>
                </c:pt>
                <c:pt idx="97">
                  <c:v>0.17723658237597398</c:v>
                </c:pt>
              </c:numCache>
            </c:numRef>
          </c:val>
          <c:smooth val="0"/>
          <c:extLst>
            <c:ext xmlns:c16="http://schemas.microsoft.com/office/drawing/2014/chart" uri="{C3380CC4-5D6E-409C-BE32-E72D297353CC}">
              <c16:uniqueId val="{00000001-BDB1-2E42-AACF-2C497D05B879}"/>
            </c:ext>
          </c:extLst>
        </c:ser>
        <c:ser>
          <c:idx val="2"/>
          <c:order val="1"/>
          <c:tx>
            <c:strRef>
              <c:f>'Nominal vs Real Data'!$C$1</c:f>
              <c:strCache>
                <c:ptCount val="1"/>
                <c:pt idx="0">
                  <c:v>3-month T.Bill</c:v>
                </c:pt>
              </c:strCache>
            </c:strRef>
          </c:tx>
          <c:spPr>
            <a:ln w="28575" cap="rnd">
              <a:solidFill>
                <a:schemeClr val="accent3"/>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Data'!$C$2:$C$100</c:f>
              <c:numCache>
                <c:formatCode>0.00%</c:formatCode>
                <c:ptCount val="99"/>
                <c:pt idx="0">
                  <c:v>3.0800000000000001E-2</c:v>
                </c:pt>
                <c:pt idx="1">
                  <c:v>3.1600000000000003E-2</c:v>
                </c:pt>
                <c:pt idx="2">
                  <c:v>4.5499999999999999E-2</c:v>
                </c:pt>
                <c:pt idx="3">
                  <c:v>2.3099999999999999E-2</c:v>
                </c:pt>
                <c:pt idx="4">
                  <c:v>1.0699999999999999E-2</c:v>
                </c:pt>
                <c:pt idx="5">
                  <c:v>9.5999999999999992E-3</c:v>
                </c:pt>
                <c:pt idx="6">
                  <c:v>2.7833333333333334E-3</c:v>
                </c:pt>
                <c:pt idx="7">
                  <c:v>1.6750000000000001E-3</c:v>
                </c:pt>
                <c:pt idx="8">
                  <c:v>1.725E-3</c:v>
                </c:pt>
                <c:pt idx="9">
                  <c:v>2.7583333333333331E-3</c:v>
                </c:pt>
                <c:pt idx="10">
                  <c:v>6.4999999999999997E-4</c:v>
                </c:pt>
                <c:pt idx="11">
                  <c:v>4.5833333333333332E-4</c:v>
                </c:pt>
                <c:pt idx="12">
                  <c:v>3.5833333333333333E-4</c:v>
                </c:pt>
                <c:pt idx="13">
                  <c:v>1.2916666666666669E-3</c:v>
                </c:pt>
                <c:pt idx="14">
                  <c:v>3.4250000000000001E-3</c:v>
                </c:pt>
                <c:pt idx="15">
                  <c:v>3.8E-3</c:v>
                </c:pt>
                <c:pt idx="16">
                  <c:v>3.8E-3</c:v>
                </c:pt>
                <c:pt idx="17">
                  <c:v>3.8E-3</c:v>
                </c:pt>
                <c:pt idx="18">
                  <c:v>3.8E-3</c:v>
                </c:pt>
                <c:pt idx="19">
                  <c:v>6.0083333333333334E-3</c:v>
                </c:pt>
                <c:pt idx="20">
                  <c:v>1.0449999999999999E-2</c:v>
                </c:pt>
                <c:pt idx="21">
                  <c:v>1.115E-2</c:v>
                </c:pt>
                <c:pt idx="22">
                  <c:v>1.2033333333333333E-2</c:v>
                </c:pt>
                <c:pt idx="23">
                  <c:v>1.5175000000000001E-2</c:v>
                </c:pt>
                <c:pt idx="24">
                  <c:v>1.7225000000000001E-2</c:v>
                </c:pt>
                <c:pt idx="25">
                  <c:v>1.8908333333333333E-2</c:v>
                </c:pt>
                <c:pt idx="26">
                  <c:v>9.3752000000000002E-3</c:v>
                </c:pt>
                <c:pt idx="27">
                  <c:v>1.7243426294820716E-2</c:v>
                </c:pt>
                <c:pt idx="28">
                  <c:v>2.6213888888888887E-2</c:v>
                </c:pt>
                <c:pt idx="29">
                  <c:v>3.2245669291338583E-2</c:v>
                </c:pt>
                <c:pt idx="30">
                  <c:v>1.7665461847389558E-2</c:v>
                </c:pt>
                <c:pt idx="31">
                  <c:v>3.3860159362549803E-2</c:v>
                </c:pt>
                <c:pt idx="32">
                  <c:v>2.8729718875502006E-2</c:v>
                </c:pt>
                <c:pt idx="33">
                  <c:v>2.3524899598393576E-2</c:v>
                </c:pt>
                <c:pt idx="34">
                  <c:v>2.7723694779116466E-2</c:v>
                </c:pt>
                <c:pt idx="35">
                  <c:v>3.1560240963855422E-2</c:v>
                </c:pt>
                <c:pt idx="36">
                  <c:v>3.5457370517928286E-2</c:v>
                </c:pt>
                <c:pt idx="37">
                  <c:v>3.9490763052208833E-2</c:v>
                </c:pt>
                <c:pt idx="38">
                  <c:v>4.8557199999999995E-2</c:v>
                </c:pt>
                <c:pt idx="39">
                  <c:v>4.2934538152610439E-2</c:v>
                </c:pt>
                <c:pt idx="40">
                  <c:v>5.3376E-2</c:v>
                </c:pt>
                <c:pt idx="41">
                  <c:v>6.668467741935484E-2</c:v>
                </c:pt>
                <c:pt idx="42">
                  <c:v>6.3909999999999995E-2</c:v>
                </c:pt>
                <c:pt idx="43">
                  <c:v>4.3342570281124503E-2</c:v>
                </c:pt>
                <c:pt idx="44">
                  <c:v>4.0618399999999999E-2</c:v>
                </c:pt>
                <c:pt idx="45">
                  <c:v>7.0354435483870964E-2</c:v>
                </c:pt>
                <c:pt idx="46">
                  <c:v>7.8457831325301208E-2</c:v>
                </c:pt>
                <c:pt idx="47">
                  <c:v>5.7863855421686747E-2</c:v>
                </c:pt>
                <c:pt idx="48">
                  <c:v>4.9766000000000005E-2</c:v>
                </c:pt>
                <c:pt idx="49">
                  <c:v>5.2609638554216867E-2</c:v>
                </c:pt>
                <c:pt idx="50">
                  <c:v>7.1783064516129036E-2</c:v>
                </c:pt>
                <c:pt idx="51">
                  <c:v>0.10054274193548388</c:v>
                </c:pt>
                <c:pt idx="52">
                  <c:v>0.1139188</c:v>
                </c:pt>
                <c:pt idx="53">
                  <c:v>0.14036184738955823</c:v>
                </c:pt>
                <c:pt idx="54">
                  <c:v>0.10603413654618475</c:v>
                </c:pt>
                <c:pt idx="55">
                  <c:v>8.61764E-2</c:v>
                </c:pt>
                <c:pt idx="56">
                  <c:v>9.5402811244979929E-2</c:v>
                </c:pt>
                <c:pt idx="57">
                  <c:v>7.4711290322580642E-2</c:v>
                </c:pt>
                <c:pt idx="58">
                  <c:v>5.9692800000000004E-2</c:v>
                </c:pt>
                <c:pt idx="59">
                  <c:v>5.7773600000000001E-2</c:v>
                </c:pt>
                <c:pt idx="60">
                  <c:v>6.6684400000000005E-2</c:v>
                </c:pt>
                <c:pt idx="61">
                  <c:v>8.111560000000001E-2</c:v>
                </c:pt>
                <c:pt idx="62">
                  <c:v>7.4964799999999998E-2</c:v>
                </c:pt>
                <c:pt idx="63">
                  <c:v>5.3756000000000005E-2</c:v>
                </c:pt>
                <c:pt idx="64">
                  <c:v>3.4313147410358569E-2</c:v>
                </c:pt>
                <c:pt idx="65">
                  <c:v>2.9971199999999996E-2</c:v>
                </c:pt>
                <c:pt idx="66">
                  <c:v>4.2522489959839357E-2</c:v>
                </c:pt>
                <c:pt idx="67">
                  <c:v>5.4896E-2</c:v>
                </c:pt>
                <c:pt idx="68">
                  <c:v>5.005396825396826E-2</c:v>
                </c:pt>
                <c:pt idx="69">
                  <c:v>5.0620800000000001E-2</c:v>
                </c:pt>
                <c:pt idx="70">
                  <c:v>4.7759600000000006E-2</c:v>
                </c:pt>
                <c:pt idx="71">
                  <c:v>4.6384063745019917E-2</c:v>
                </c:pt>
                <c:pt idx="72">
                  <c:v>5.8198007968127491E-2</c:v>
                </c:pt>
                <c:pt idx="73">
                  <c:v>3.3993548387096777E-2</c:v>
                </c:pt>
                <c:pt idx="74">
                  <c:v>1.60532E-2</c:v>
                </c:pt>
                <c:pt idx="75">
                  <c:v>1.00836E-2</c:v>
                </c:pt>
                <c:pt idx="76">
                  <c:v>1.3746400000000001E-2</c:v>
                </c:pt>
                <c:pt idx="77">
                  <c:v>3.1491600000000002E-2</c:v>
                </c:pt>
                <c:pt idx="78">
                  <c:v>4.7300000000000002E-2</c:v>
                </c:pt>
                <c:pt idx="79">
                  <c:v>4.3619521912350592E-2</c:v>
                </c:pt>
                <c:pt idx="80">
                  <c:v>1.3713147410358567E-2</c:v>
                </c:pt>
                <c:pt idx="81">
                  <c:v>1.5051999999999999E-3</c:v>
                </c:pt>
                <c:pt idx="82">
                  <c:v>1.3844621513944221E-3</c:v>
                </c:pt>
                <c:pt idx="83">
                  <c:v>5.2839999999999994E-4</c:v>
                </c:pt>
                <c:pt idx="84">
                  <c:v>8.7599999999999993E-4</c:v>
                </c:pt>
                <c:pt idx="85">
                  <c:v>5.708E-4</c:v>
                </c:pt>
                <c:pt idx="86">
                  <c:v>3.2719999999999998E-4</c:v>
                </c:pt>
                <c:pt idx="87">
                  <c:v>5.2031872509960154E-4</c:v>
                </c:pt>
                <c:pt idx="88">
                  <c:v>3.1612000000000003E-3</c:v>
                </c:pt>
                <c:pt idx="89">
                  <c:v>9.3411999999999992E-3</c:v>
                </c:pt>
                <c:pt idx="90">
                  <c:v>1.936305220883534E-2</c:v>
                </c:pt>
                <c:pt idx="91">
                  <c:v>2.0624799999999999E-2</c:v>
                </c:pt>
                <c:pt idx="92">
                  <c:v>3.547410358565737E-3</c:v>
                </c:pt>
                <c:pt idx="93">
                  <c:v>4.5019920318725102E-4</c:v>
                </c:pt>
                <c:pt idx="94">
                  <c:v>2.0247791164658632E-2</c:v>
                </c:pt>
                <c:pt idx="95">
                  <c:v>5.0703614457831322E-2</c:v>
                </c:pt>
                <c:pt idx="96">
                  <c:v>5.1799999999999999E-2</c:v>
                </c:pt>
                <c:pt idx="97">
                  <c:v>4.2099999999999999E-2</c:v>
                </c:pt>
              </c:numCache>
            </c:numRef>
          </c:val>
          <c:smooth val="0"/>
          <c:extLst>
            <c:ext xmlns:c16="http://schemas.microsoft.com/office/drawing/2014/chart" uri="{C3380CC4-5D6E-409C-BE32-E72D297353CC}">
              <c16:uniqueId val="{00000002-BDB1-2E42-AACF-2C497D05B879}"/>
            </c:ext>
          </c:extLst>
        </c:ser>
        <c:ser>
          <c:idx val="3"/>
          <c:order val="2"/>
          <c:tx>
            <c:strRef>
              <c:f>'Nominal vs Real Data'!$D$1</c:f>
              <c:strCache>
                <c:ptCount val="1"/>
                <c:pt idx="0">
                  <c:v>US T. Bond (10-year)</c:v>
                </c:pt>
              </c:strCache>
            </c:strRef>
          </c:tx>
          <c:spPr>
            <a:ln w="28575" cap="rnd">
              <a:solidFill>
                <a:schemeClr val="accent4"/>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Data'!$D$2:$D$100</c:f>
              <c:numCache>
                <c:formatCode>0.00%</c:formatCode>
                <c:ptCount val="99"/>
                <c:pt idx="0">
                  <c:v>8.354708589799302E-3</c:v>
                </c:pt>
                <c:pt idx="1">
                  <c:v>4.2038041563204259E-2</c:v>
                </c:pt>
                <c:pt idx="2">
                  <c:v>4.5409314348970366E-2</c:v>
                </c:pt>
                <c:pt idx="3">
                  <c:v>-2.5588559619422531E-2</c:v>
                </c:pt>
                <c:pt idx="4">
                  <c:v>8.7903069904773257E-2</c:v>
                </c:pt>
                <c:pt idx="5">
                  <c:v>1.8552720891857361E-2</c:v>
                </c:pt>
                <c:pt idx="6">
                  <c:v>7.9634426179656104E-2</c:v>
                </c:pt>
                <c:pt idx="7">
                  <c:v>4.4720477296566127E-2</c:v>
                </c:pt>
                <c:pt idx="8">
                  <c:v>5.0178754045450601E-2</c:v>
                </c:pt>
                <c:pt idx="9">
                  <c:v>1.379146059646038E-2</c:v>
                </c:pt>
                <c:pt idx="10">
                  <c:v>4.2132485322046068E-2</c:v>
                </c:pt>
                <c:pt idx="11">
                  <c:v>4.4122613942060671E-2</c:v>
                </c:pt>
                <c:pt idx="12">
                  <c:v>5.4024815962845509E-2</c:v>
                </c:pt>
                <c:pt idx="13">
                  <c:v>-2.0221975848580105E-2</c:v>
                </c:pt>
                <c:pt idx="14">
                  <c:v>2.2948682374484164E-2</c:v>
                </c:pt>
                <c:pt idx="15">
                  <c:v>2.4899999999999999E-2</c:v>
                </c:pt>
                <c:pt idx="16">
                  <c:v>2.5776111579070303E-2</c:v>
                </c:pt>
                <c:pt idx="17">
                  <c:v>3.8044173419237229E-2</c:v>
                </c:pt>
                <c:pt idx="18">
                  <c:v>3.1283745375695685E-2</c:v>
                </c:pt>
                <c:pt idx="19">
                  <c:v>9.1969680628322358E-3</c:v>
                </c:pt>
                <c:pt idx="20">
                  <c:v>1.9510369413175046E-2</c:v>
                </c:pt>
                <c:pt idx="21">
                  <c:v>4.6634851827973139E-2</c:v>
                </c:pt>
                <c:pt idx="22">
                  <c:v>4.2959574171096103E-3</c:v>
                </c:pt>
                <c:pt idx="23">
                  <c:v>-2.9531392208319886E-3</c:v>
                </c:pt>
                <c:pt idx="24">
                  <c:v>2.2679961918305656E-2</c:v>
                </c:pt>
                <c:pt idx="25">
                  <c:v>4.1438402589088513E-2</c:v>
                </c:pt>
                <c:pt idx="26">
                  <c:v>3.2898034558095555E-2</c:v>
                </c:pt>
                <c:pt idx="27">
                  <c:v>-1.3364391288618781E-2</c:v>
                </c:pt>
                <c:pt idx="28">
                  <c:v>-2.2557738173154165E-2</c:v>
                </c:pt>
                <c:pt idx="29">
                  <c:v>6.7970128466249904E-2</c:v>
                </c:pt>
                <c:pt idx="30">
                  <c:v>-2.0990181755274694E-2</c:v>
                </c:pt>
                <c:pt idx="31">
                  <c:v>-2.6466312591385065E-2</c:v>
                </c:pt>
                <c:pt idx="32">
                  <c:v>0.11639503690963365</c:v>
                </c:pt>
                <c:pt idx="33">
                  <c:v>2.0609208076323167E-2</c:v>
                </c:pt>
                <c:pt idx="34">
                  <c:v>5.693544054008462E-2</c:v>
                </c:pt>
                <c:pt idx="35">
                  <c:v>1.6841620739546127E-2</c:v>
                </c:pt>
                <c:pt idx="36">
                  <c:v>3.7280648911540815E-2</c:v>
                </c:pt>
                <c:pt idx="37">
                  <c:v>7.1885509359262342E-3</c:v>
                </c:pt>
                <c:pt idx="38">
                  <c:v>2.9079409324299622E-2</c:v>
                </c:pt>
                <c:pt idx="39">
                  <c:v>-1.5806209932824666E-2</c:v>
                </c:pt>
                <c:pt idx="40">
                  <c:v>3.2746196950768365E-2</c:v>
                </c:pt>
                <c:pt idx="41">
                  <c:v>-5.0140493209926106E-2</c:v>
                </c:pt>
                <c:pt idx="42">
                  <c:v>0.16754737183412338</c:v>
                </c:pt>
                <c:pt idx="43">
                  <c:v>9.7868966197122972E-2</c:v>
                </c:pt>
                <c:pt idx="44">
                  <c:v>2.818449050444969E-2</c:v>
                </c:pt>
                <c:pt idx="45">
                  <c:v>3.6586646024150085E-2</c:v>
                </c:pt>
                <c:pt idx="46">
                  <c:v>1.9886086932378574E-2</c:v>
                </c:pt>
                <c:pt idx="47">
                  <c:v>3.6052536026033838E-2</c:v>
                </c:pt>
                <c:pt idx="48">
                  <c:v>0.1598456074290921</c:v>
                </c:pt>
                <c:pt idx="49">
                  <c:v>1.2899606071070449E-2</c:v>
                </c:pt>
                <c:pt idx="50">
                  <c:v>-7.7758069075086478E-3</c:v>
                </c:pt>
                <c:pt idx="51">
                  <c:v>6.7072031247235459E-3</c:v>
                </c:pt>
                <c:pt idx="52">
                  <c:v>-2.989744251999403E-2</c:v>
                </c:pt>
                <c:pt idx="53">
                  <c:v>8.1992153358923542E-2</c:v>
                </c:pt>
                <c:pt idx="54">
                  <c:v>0.32814549486295586</c:v>
                </c:pt>
                <c:pt idx="55">
                  <c:v>3.2002094451429264E-2</c:v>
                </c:pt>
                <c:pt idx="56">
                  <c:v>0.13733364344102345</c:v>
                </c:pt>
                <c:pt idx="57">
                  <c:v>0.2571248821260641</c:v>
                </c:pt>
                <c:pt idx="58">
                  <c:v>0.24284215141767618</c:v>
                </c:pt>
                <c:pt idx="59">
                  <c:v>-4.9605089379262279E-2</c:v>
                </c:pt>
                <c:pt idx="60">
                  <c:v>8.2235958434841674E-2</c:v>
                </c:pt>
                <c:pt idx="61">
                  <c:v>0.17693647159446219</c:v>
                </c:pt>
                <c:pt idx="62">
                  <c:v>6.2353753335533363E-2</c:v>
                </c:pt>
                <c:pt idx="63">
                  <c:v>0.15004510019517303</c:v>
                </c:pt>
                <c:pt idx="64">
                  <c:v>9.3616373162079422E-2</c:v>
                </c:pt>
                <c:pt idx="65">
                  <c:v>0.14210957589263107</c:v>
                </c:pt>
                <c:pt idx="66">
                  <c:v>-8.0366555509985921E-2</c:v>
                </c:pt>
                <c:pt idx="67">
                  <c:v>0.23480780112538907</c:v>
                </c:pt>
                <c:pt idx="68">
                  <c:v>1.428607793401844E-2</c:v>
                </c:pt>
                <c:pt idx="69">
                  <c:v>9.939130272977531E-2</c:v>
                </c:pt>
                <c:pt idx="70">
                  <c:v>0.14921431922606215</c:v>
                </c:pt>
                <c:pt idx="71">
                  <c:v>-8.2542147962685761E-2</c:v>
                </c:pt>
                <c:pt idx="72">
                  <c:v>0.16655267125397488</c:v>
                </c:pt>
                <c:pt idx="73">
                  <c:v>5.5721811892492555E-2</c:v>
                </c:pt>
                <c:pt idx="74">
                  <c:v>0.15116400378109285</c:v>
                </c:pt>
                <c:pt idx="75">
                  <c:v>3.7531858817758529E-3</c:v>
                </c:pt>
                <c:pt idx="76">
                  <c:v>4.490683702274547E-2</c:v>
                </c:pt>
                <c:pt idx="77">
                  <c:v>2.8675329597779506E-2</c:v>
                </c:pt>
                <c:pt idx="78">
                  <c:v>1.9610012417568386E-2</c:v>
                </c:pt>
                <c:pt idx="79">
                  <c:v>0.10209921930012807</c:v>
                </c:pt>
                <c:pt idx="80">
                  <c:v>0.20101279926977011</c:v>
                </c:pt>
                <c:pt idx="81">
                  <c:v>-0.11116695313259162</c:v>
                </c:pt>
                <c:pt idx="82">
                  <c:v>8.4629338803557719E-2</c:v>
                </c:pt>
                <c:pt idx="83">
                  <c:v>0.16035334999461354</c:v>
                </c:pt>
                <c:pt idx="84">
                  <c:v>2.971571978018946E-2</c:v>
                </c:pt>
                <c:pt idx="85">
                  <c:v>-9.104568794347262E-2</c:v>
                </c:pt>
                <c:pt idx="86">
                  <c:v>0.10746180452004755</c:v>
                </c:pt>
                <c:pt idx="87">
                  <c:v>1.2842996709792224E-2</c:v>
                </c:pt>
                <c:pt idx="88">
                  <c:v>6.9055046987477921E-3</c:v>
                </c:pt>
                <c:pt idx="89">
                  <c:v>2.8017162707789457E-2</c:v>
                </c:pt>
                <c:pt idx="90">
                  <c:v>-1.6692385713402633E-4</c:v>
                </c:pt>
                <c:pt idx="91">
                  <c:v>9.6356307415483927E-2</c:v>
                </c:pt>
                <c:pt idx="92">
                  <c:v>0.1133189764661412</c:v>
                </c:pt>
                <c:pt idx="93">
                  <c:v>-4.416034448604475E-2</c:v>
                </c:pt>
                <c:pt idx="94">
                  <c:v>-0.1782817153825067</c:v>
                </c:pt>
                <c:pt idx="95">
                  <c:v>3.8800000000000001E-2</c:v>
                </c:pt>
                <c:pt idx="96">
                  <c:v>-1.6371801436629807E-2</c:v>
                </c:pt>
                <c:pt idx="97">
                  <c:v>7.7954808707673962E-2</c:v>
                </c:pt>
              </c:numCache>
            </c:numRef>
          </c:val>
          <c:smooth val="0"/>
          <c:extLst>
            <c:ext xmlns:c16="http://schemas.microsoft.com/office/drawing/2014/chart" uri="{C3380CC4-5D6E-409C-BE32-E72D297353CC}">
              <c16:uniqueId val="{00000003-BDB1-2E42-AACF-2C497D05B879}"/>
            </c:ext>
          </c:extLst>
        </c:ser>
        <c:dLbls>
          <c:showLegendKey val="0"/>
          <c:showVal val="0"/>
          <c:showCatName val="0"/>
          <c:showSerName val="0"/>
          <c:showPercent val="0"/>
          <c:showBubbleSize val="0"/>
        </c:dLbls>
        <c:smooth val="0"/>
        <c:axId val="795215280"/>
        <c:axId val="795220880"/>
      </c:lineChart>
      <c:catAx>
        <c:axId val="79521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20880"/>
        <c:crosses val="autoZero"/>
        <c:auto val="1"/>
        <c:lblAlgn val="ctr"/>
        <c:lblOffset val="100"/>
        <c:noMultiLvlLbl val="0"/>
      </c:catAx>
      <c:valAx>
        <c:axId val="795220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1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4"/>
          <c:order val="1"/>
          <c:tx>
            <c:strRef>
              <c:f>'Nominal vs Real Data'!$E$1</c:f>
              <c:strCache>
                <c:ptCount val="1"/>
                <c:pt idx="0">
                  <c:v>Inflation Rate</c:v>
                </c:pt>
              </c:strCache>
            </c:strRef>
          </c:tx>
          <c:spPr>
            <a:solidFill>
              <a:schemeClr val="accent5"/>
            </a:solidFill>
            <a:ln>
              <a:noFill/>
            </a:ln>
            <a:effectLst/>
          </c:spPr>
          <c:invertIfNegative val="0"/>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Data'!$E$2:$E$100</c:f>
              <c:numCache>
                <c:formatCode>0.00%</c:formatCode>
                <c:ptCount val="99"/>
                <c:pt idx="0">
                  <c:v>-1.15607E-2</c:v>
                </c:pt>
                <c:pt idx="1">
                  <c:v>5.8479999999999999E-3</c:v>
                </c:pt>
                <c:pt idx="2">
                  <c:v>-6.3953499999999996E-2</c:v>
                </c:pt>
                <c:pt idx="3">
                  <c:v>-9.3167700000000006E-2</c:v>
                </c:pt>
                <c:pt idx="4">
                  <c:v>-0.1027397</c:v>
                </c:pt>
                <c:pt idx="5">
                  <c:v>7.6336000000000008E-3</c:v>
                </c:pt>
                <c:pt idx="6">
                  <c:v>1.51515E-2</c:v>
                </c:pt>
                <c:pt idx="7">
                  <c:v>2.9850699999999997E-2</c:v>
                </c:pt>
                <c:pt idx="8">
                  <c:v>1.4492799999999998E-2</c:v>
                </c:pt>
                <c:pt idx="9">
                  <c:v>2.8571399999999997E-2</c:v>
                </c:pt>
                <c:pt idx="10">
                  <c:v>-2.7777799999999998E-2</c:v>
                </c:pt>
                <c:pt idx="11">
                  <c:v>0</c:v>
                </c:pt>
                <c:pt idx="12">
                  <c:v>7.1428999999999998E-3</c:v>
                </c:pt>
                <c:pt idx="13">
                  <c:v>9.9290800000000012E-2</c:v>
                </c:pt>
                <c:pt idx="14">
                  <c:v>9.0322600000000003E-2</c:v>
                </c:pt>
                <c:pt idx="15">
                  <c:v>2.9585799999999999E-2</c:v>
                </c:pt>
                <c:pt idx="16">
                  <c:v>2.2988499999999999E-2</c:v>
                </c:pt>
                <c:pt idx="17">
                  <c:v>2.24719E-2</c:v>
                </c:pt>
                <c:pt idx="18">
                  <c:v>0.1813187</c:v>
                </c:pt>
                <c:pt idx="19">
                  <c:v>8.8372100000000009E-2</c:v>
                </c:pt>
                <c:pt idx="20">
                  <c:v>2.7338700000000001E-2</c:v>
                </c:pt>
                <c:pt idx="21">
                  <c:v>-1.8295200000000001E-2</c:v>
                </c:pt>
                <c:pt idx="22">
                  <c:v>5.8026299999999996E-2</c:v>
                </c:pt>
                <c:pt idx="23">
                  <c:v>5.9647699999999998E-2</c:v>
                </c:pt>
                <c:pt idx="24">
                  <c:v>9.0668999999999993E-3</c:v>
                </c:pt>
                <c:pt idx="25">
                  <c:v>5.9902999999999996E-3</c:v>
                </c:pt>
                <c:pt idx="26">
                  <c:v>-3.7215999999999998E-3</c:v>
                </c:pt>
                <c:pt idx="27">
                  <c:v>3.7355000000000001E-3</c:v>
                </c:pt>
                <c:pt idx="28">
                  <c:v>2.8284299999999998E-2</c:v>
                </c:pt>
                <c:pt idx="29">
                  <c:v>3.0401699999999997E-2</c:v>
                </c:pt>
                <c:pt idx="30">
                  <c:v>1.7562299999999999E-2</c:v>
                </c:pt>
                <c:pt idx="31">
                  <c:v>1.51881E-2</c:v>
                </c:pt>
                <c:pt idx="32">
                  <c:v>1.36008E-2</c:v>
                </c:pt>
                <c:pt idx="33">
                  <c:v>6.7091999999999994E-3</c:v>
                </c:pt>
                <c:pt idx="34">
                  <c:v>1.23292E-2</c:v>
                </c:pt>
                <c:pt idx="35">
                  <c:v>1.6458199999999999E-2</c:v>
                </c:pt>
                <c:pt idx="36">
                  <c:v>1.19819E-2</c:v>
                </c:pt>
                <c:pt idx="37">
                  <c:v>1.9199999999999998E-2</c:v>
                </c:pt>
                <c:pt idx="38">
                  <c:v>3.3595E-2</c:v>
                </c:pt>
                <c:pt idx="39">
                  <c:v>3.2806799999999997E-2</c:v>
                </c:pt>
                <c:pt idx="40">
                  <c:v>4.7058799999999998E-2</c:v>
                </c:pt>
                <c:pt idx="41">
                  <c:v>5.8988800000000001E-2</c:v>
                </c:pt>
                <c:pt idx="42">
                  <c:v>5.57029E-2</c:v>
                </c:pt>
                <c:pt idx="43">
                  <c:v>3.2663299999999999E-2</c:v>
                </c:pt>
                <c:pt idx="44">
                  <c:v>3.4063299999999998E-2</c:v>
                </c:pt>
                <c:pt idx="45">
                  <c:v>8.9411799999999986E-2</c:v>
                </c:pt>
                <c:pt idx="46">
                  <c:v>0.1209503</c:v>
                </c:pt>
                <c:pt idx="47">
                  <c:v>7.129089999999999E-2</c:v>
                </c:pt>
                <c:pt idx="48">
                  <c:v>5.03597E-2</c:v>
                </c:pt>
                <c:pt idx="49">
                  <c:v>6.6780800000000001E-2</c:v>
                </c:pt>
                <c:pt idx="50">
                  <c:v>8.9887599999999998E-2</c:v>
                </c:pt>
                <c:pt idx="51">
                  <c:v>0.1325479</c:v>
                </c:pt>
                <c:pt idx="52">
                  <c:v>0.1235371</c:v>
                </c:pt>
                <c:pt idx="53">
                  <c:v>8.9120399999999989E-2</c:v>
                </c:pt>
                <c:pt idx="54">
                  <c:v>3.8257199999999998E-2</c:v>
                </c:pt>
                <c:pt idx="55">
                  <c:v>3.7871000000000002E-2</c:v>
                </c:pt>
                <c:pt idx="56">
                  <c:v>4.0433899999999995E-2</c:v>
                </c:pt>
                <c:pt idx="57">
                  <c:v>3.7914699999999996E-2</c:v>
                </c:pt>
                <c:pt idx="58">
                  <c:v>1.1872100000000002E-2</c:v>
                </c:pt>
                <c:pt idx="59">
                  <c:v>4.33213E-2</c:v>
                </c:pt>
                <c:pt idx="60">
                  <c:v>4.41176E-2</c:v>
                </c:pt>
                <c:pt idx="61">
                  <c:v>4.6396E-2</c:v>
                </c:pt>
                <c:pt idx="62">
                  <c:v>6.2549499999999994E-2</c:v>
                </c:pt>
                <c:pt idx="63">
                  <c:v>2.9806300000000001E-2</c:v>
                </c:pt>
                <c:pt idx="64">
                  <c:v>2.9667099999999998E-2</c:v>
                </c:pt>
                <c:pt idx="65">
                  <c:v>2.8109600000000002E-2</c:v>
                </c:pt>
                <c:pt idx="66">
                  <c:v>2.5974000000000001E-2</c:v>
                </c:pt>
                <c:pt idx="67">
                  <c:v>2.5316499999999999E-2</c:v>
                </c:pt>
                <c:pt idx="68">
                  <c:v>3.3788200000000004E-2</c:v>
                </c:pt>
                <c:pt idx="69">
                  <c:v>1.6970499999999999E-2</c:v>
                </c:pt>
                <c:pt idx="70">
                  <c:v>1.6069199999999999E-2</c:v>
                </c:pt>
                <c:pt idx="71">
                  <c:v>2.6764E-2</c:v>
                </c:pt>
                <c:pt idx="72">
                  <c:v>3.43602E-2</c:v>
                </c:pt>
                <c:pt idx="73">
                  <c:v>1.6036700000000001E-2</c:v>
                </c:pt>
                <c:pt idx="74">
                  <c:v>2.48027E-2</c:v>
                </c:pt>
                <c:pt idx="75">
                  <c:v>2.0352000000000002E-2</c:v>
                </c:pt>
                <c:pt idx="76">
                  <c:v>3.34232E-2</c:v>
                </c:pt>
                <c:pt idx="77">
                  <c:v>3.3385499999999999E-2</c:v>
                </c:pt>
                <c:pt idx="78">
                  <c:v>2.52398E-2</c:v>
                </c:pt>
                <c:pt idx="79">
                  <c:v>4.1088100000000002E-2</c:v>
                </c:pt>
                <c:pt idx="80">
                  <c:v>-2.2230000000000001E-4</c:v>
                </c:pt>
                <c:pt idx="81">
                  <c:v>2.8141199999999998E-2</c:v>
                </c:pt>
                <c:pt idx="82">
                  <c:v>1.4377899999999999E-2</c:v>
                </c:pt>
                <c:pt idx="83">
                  <c:v>3.0620699999999997E-2</c:v>
                </c:pt>
                <c:pt idx="84">
                  <c:v>1.7595E-2</c:v>
                </c:pt>
                <c:pt idx="85">
                  <c:v>1.51284E-2</c:v>
                </c:pt>
                <c:pt idx="86">
                  <c:v>6.5312E-3</c:v>
                </c:pt>
                <c:pt idx="87">
                  <c:v>6.3871999999999991E-3</c:v>
                </c:pt>
                <c:pt idx="88">
                  <c:v>2.0508000000000002E-2</c:v>
                </c:pt>
                <c:pt idx="89">
                  <c:v>2.12993E-2</c:v>
                </c:pt>
                <c:pt idx="90">
                  <c:v>2.0023800000000001E-2</c:v>
                </c:pt>
                <c:pt idx="91">
                  <c:v>2.3139900000000001E-2</c:v>
                </c:pt>
                <c:pt idx="92">
                  <c:v>1.32204E-2</c:v>
                </c:pt>
                <c:pt idx="93">
                  <c:v>7.1944599999999997E-2</c:v>
                </c:pt>
                <c:pt idx="94">
                  <c:v>6.4449400000000004E-2</c:v>
                </c:pt>
                <c:pt idx="95">
                  <c:v>3.1200000000000002E-2</c:v>
                </c:pt>
                <c:pt idx="96">
                  <c:v>0</c:v>
                </c:pt>
                <c:pt idx="97">
                  <c:v>0</c:v>
                </c:pt>
              </c:numCache>
            </c:numRef>
          </c:val>
          <c:extLst>
            <c:ext xmlns:c16="http://schemas.microsoft.com/office/drawing/2014/chart" uri="{C3380CC4-5D6E-409C-BE32-E72D297353CC}">
              <c16:uniqueId val="{00000004-A4C6-F443-B2F5-3D62F8348551}"/>
            </c:ext>
          </c:extLst>
        </c:ser>
        <c:dLbls>
          <c:showLegendKey val="0"/>
          <c:showVal val="0"/>
          <c:showCatName val="0"/>
          <c:showSerName val="0"/>
          <c:showPercent val="0"/>
          <c:showBubbleSize val="0"/>
        </c:dLbls>
        <c:gapWidth val="150"/>
        <c:axId val="1283263328"/>
        <c:axId val="1283208032"/>
      </c:barChart>
      <c:lineChart>
        <c:grouping val="standard"/>
        <c:varyColors val="0"/>
        <c:ser>
          <c:idx val="1"/>
          <c:order val="0"/>
          <c:tx>
            <c:strRef>
              <c:f>'Nominal vs Real Data'!$B$1</c:f>
              <c:strCache>
                <c:ptCount val="1"/>
                <c:pt idx="0">
                  <c:v>S&amp;P 500 (includes dividends)</c:v>
                </c:pt>
              </c:strCache>
            </c:strRef>
          </c:tx>
          <c:spPr>
            <a:ln w="28575" cap="rnd">
              <a:solidFill>
                <a:srgbClr val="FF0000"/>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Data'!$B$2:$B$100</c:f>
              <c:numCache>
                <c:formatCode>0.00%</c:formatCode>
                <c:ptCount val="99"/>
                <c:pt idx="0">
                  <c:v>0.43811155152887893</c:v>
                </c:pt>
                <c:pt idx="1">
                  <c:v>-8.2979466119096595E-2</c:v>
                </c:pt>
                <c:pt idx="2">
                  <c:v>-0.25123636363636365</c:v>
                </c:pt>
                <c:pt idx="3">
                  <c:v>-0.43837548891786188</c:v>
                </c:pt>
                <c:pt idx="4">
                  <c:v>-8.642364532019696E-2</c:v>
                </c:pt>
                <c:pt idx="5">
                  <c:v>0.49982225433526023</c:v>
                </c:pt>
                <c:pt idx="6">
                  <c:v>-1.1885656970912803E-2</c:v>
                </c:pt>
                <c:pt idx="7">
                  <c:v>0.46740421052631581</c:v>
                </c:pt>
                <c:pt idx="8">
                  <c:v>0.31943410275502609</c:v>
                </c:pt>
                <c:pt idx="9">
                  <c:v>-0.35336728754365537</c:v>
                </c:pt>
                <c:pt idx="10">
                  <c:v>0.29282654028436017</c:v>
                </c:pt>
                <c:pt idx="11">
                  <c:v>-1.0975646879756443E-2</c:v>
                </c:pt>
                <c:pt idx="12">
                  <c:v>-0.10672873194221515</c:v>
                </c:pt>
                <c:pt idx="13">
                  <c:v>-0.12771455576559551</c:v>
                </c:pt>
                <c:pt idx="14">
                  <c:v>0.19173762945914843</c:v>
                </c:pt>
                <c:pt idx="15">
                  <c:v>0.25061310133060394</c:v>
                </c:pt>
                <c:pt idx="16">
                  <c:v>0.19030676949443009</c:v>
                </c:pt>
                <c:pt idx="17">
                  <c:v>0.35821084337349401</c:v>
                </c:pt>
                <c:pt idx="18">
                  <c:v>-8.4291474654377807E-2</c:v>
                </c:pt>
                <c:pt idx="19">
                  <c:v>5.1999999999999998E-2</c:v>
                </c:pt>
                <c:pt idx="20">
                  <c:v>5.7045751633986834E-2</c:v>
                </c:pt>
                <c:pt idx="21">
                  <c:v>0.18303223684210526</c:v>
                </c:pt>
                <c:pt idx="22">
                  <c:v>0.30805539011316263</c:v>
                </c:pt>
                <c:pt idx="23">
                  <c:v>0.23678463044542339</c:v>
                </c:pt>
                <c:pt idx="24">
                  <c:v>0.18150988641144306</c:v>
                </c:pt>
                <c:pt idx="25">
                  <c:v>-1.2082047421904465E-2</c:v>
                </c:pt>
                <c:pt idx="26">
                  <c:v>0.52563321241434902</c:v>
                </c:pt>
                <c:pt idx="27">
                  <c:v>0.32597331851028349</c:v>
                </c:pt>
                <c:pt idx="28">
                  <c:v>7.4395118733509347E-2</c:v>
                </c:pt>
                <c:pt idx="29">
                  <c:v>-0.1045736018855796</c:v>
                </c:pt>
                <c:pt idx="30">
                  <c:v>0.43719954988747184</c:v>
                </c:pt>
                <c:pt idx="31">
                  <c:v>0.12056457163557326</c:v>
                </c:pt>
                <c:pt idx="32">
                  <c:v>3.36535314743695E-3</c:v>
                </c:pt>
                <c:pt idx="33">
                  <c:v>0.26637712958182752</c:v>
                </c:pt>
                <c:pt idx="34">
                  <c:v>-8.8114605171208879E-2</c:v>
                </c:pt>
                <c:pt idx="35">
                  <c:v>0.22611927099841514</c:v>
                </c:pt>
                <c:pt idx="36">
                  <c:v>0.16415455878432425</c:v>
                </c:pt>
                <c:pt idx="37">
                  <c:v>0.12399242477876114</c:v>
                </c:pt>
                <c:pt idx="38">
                  <c:v>-9.9709542356377898E-2</c:v>
                </c:pt>
                <c:pt idx="39">
                  <c:v>0.23802966513133328</c:v>
                </c:pt>
                <c:pt idx="40">
                  <c:v>0.10814862651601535</c:v>
                </c:pt>
                <c:pt idx="41">
                  <c:v>-8.2413710764490639E-2</c:v>
                </c:pt>
                <c:pt idx="42">
                  <c:v>3.5611449054964189E-2</c:v>
                </c:pt>
                <c:pt idx="43">
                  <c:v>0.14221150298426474</c:v>
                </c:pt>
                <c:pt idx="44">
                  <c:v>0.18755362915074925</c:v>
                </c:pt>
                <c:pt idx="45">
                  <c:v>-0.14308047437526472</c:v>
                </c:pt>
                <c:pt idx="46">
                  <c:v>-0.25901785750896972</c:v>
                </c:pt>
                <c:pt idx="47">
                  <c:v>0.36995137106184356</c:v>
                </c:pt>
                <c:pt idx="48">
                  <c:v>0.23830999002106662</c:v>
                </c:pt>
                <c:pt idx="49">
                  <c:v>-6.9797040759352322E-2</c:v>
                </c:pt>
                <c:pt idx="50">
                  <c:v>6.50928391167193E-2</c:v>
                </c:pt>
                <c:pt idx="51">
                  <c:v>0.18519490167516386</c:v>
                </c:pt>
                <c:pt idx="52">
                  <c:v>0.3173524550676301</c:v>
                </c:pt>
                <c:pt idx="53">
                  <c:v>-4.7023902474955762E-2</c:v>
                </c:pt>
                <c:pt idx="54">
                  <c:v>0.20419055079559353</c:v>
                </c:pt>
                <c:pt idx="55">
                  <c:v>0.22337155858930619</c:v>
                </c:pt>
                <c:pt idx="56">
                  <c:v>6.14614199963621E-2</c:v>
                </c:pt>
                <c:pt idx="57">
                  <c:v>0.31235149485768948</c:v>
                </c:pt>
                <c:pt idx="58">
                  <c:v>0.18494578758046187</c:v>
                </c:pt>
                <c:pt idx="59">
                  <c:v>5.8127216418218712E-2</c:v>
                </c:pt>
                <c:pt idx="60">
                  <c:v>0.16537192812044688</c:v>
                </c:pt>
                <c:pt idx="61">
                  <c:v>0.31475183638196724</c:v>
                </c:pt>
                <c:pt idx="62">
                  <c:v>-3.0644516129032118E-2</c:v>
                </c:pt>
                <c:pt idx="63">
                  <c:v>0.30234843134879757</c:v>
                </c:pt>
                <c:pt idx="64">
                  <c:v>7.493727972380064E-2</c:v>
                </c:pt>
                <c:pt idx="65">
                  <c:v>9.96705147919488E-2</c:v>
                </c:pt>
                <c:pt idx="66">
                  <c:v>1.3259206774573897E-2</c:v>
                </c:pt>
                <c:pt idx="67">
                  <c:v>0.37195198902606308</c:v>
                </c:pt>
                <c:pt idx="68">
                  <c:v>0.22680966018865789</c:v>
                </c:pt>
                <c:pt idx="69">
                  <c:v>0.33103653103653097</c:v>
                </c:pt>
                <c:pt idx="70">
                  <c:v>0.28337953278443584</c:v>
                </c:pt>
                <c:pt idx="71">
                  <c:v>0.20885350992084475</c:v>
                </c:pt>
                <c:pt idx="72">
                  <c:v>-9.0318189552492781E-2</c:v>
                </c:pt>
                <c:pt idx="73">
                  <c:v>-0.11849759142000185</c:v>
                </c:pt>
                <c:pt idx="74">
                  <c:v>-0.21966047957912699</c:v>
                </c:pt>
                <c:pt idx="75">
                  <c:v>0.28355800050010233</c:v>
                </c:pt>
                <c:pt idx="76">
                  <c:v>0.10742775944096193</c:v>
                </c:pt>
                <c:pt idx="77">
                  <c:v>4.8344775232688535E-2</c:v>
                </c:pt>
                <c:pt idx="78">
                  <c:v>0.15612557979315703</c:v>
                </c:pt>
                <c:pt idx="79">
                  <c:v>5.4847352464217694E-2</c:v>
                </c:pt>
                <c:pt idx="80">
                  <c:v>-0.36552344111798191</c:v>
                </c:pt>
                <c:pt idx="81">
                  <c:v>0.25935233877663982</c:v>
                </c:pt>
                <c:pt idx="82">
                  <c:v>0.14821092278719414</c:v>
                </c:pt>
                <c:pt idx="83">
                  <c:v>2.09837473362805E-2</c:v>
                </c:pt>
                <c:pt idx="84">
                  <c:v>0.15890585241730293</c:v>
                </c:pt>
                <c:pt idx="85">
                  <c:v>0.32145085858125483</c:v>
                </c:pt>
                <c:pt idx="86">
                  <c:v>0.13524421649462237</c:v>
                </c:pt>
                <c:pt idx="87">
                  <c:v>1.3788916411676138E-2</c:v>
                </c:pt>
                <c:pt idx="88">
                  <c:v>0.11773080874798171</c:v>
                </c:pt>
                <c:pt idx="89">
                  <c:v>0.2160548143449928</c:v>
                </c:pt>
                <c:pt idx="90">
                  <c:v>-4.2268692890885438E-2</c:v>
                </c:pt>
                <c:pt idx="91">
                  <c:v>0.31211679996808755</c:v>
                </c:pt>
                <c:pt idx="92">
                  <c:v>0.18023201827422478</c:v>
                </c:pt>
                <c:pt idx="93">
                  <c:v>0.28468851751964158</c:v>
                </c:pt>
                <c:pt idx="94">
                  <c:v>-0.18037505927178585</c:v>
                </c:pt>
                <c:pt idx="95">
                  <c:v>0.26060684985024096</c:v>
                </c:pt>
                <c:pt idx="96">
                  <c:v>0.24878611262526726</c:v>
                </c:pt>
                <c:pt idx="97">
                  <c:v>0.17723658237597398</c:v>
                </c:pt>
              </c:numCache>
            </c:numRef>
          </c:val>
          <c:smooth val="0"/>
          <c:extLst>
            <c:ext xmlns:c16="http://schemas.microsoft.com/office/drawing/2014/chart" uri="{C3380CC4-5D6E-409C-BE32-E72D297353CC}">
              <c16:uniqueId val="{00000001-A4C6-F443-B2F5-3D62F8348551}"/>
            </c:ext>
          </c:extLst>
        </c:ser>
        <c:ser>
          <c:idx val="5"/>
          <c:order val="2"/>
          <c:tx>
            <c:strRef>
              <c:f>'Nominal vs Real Data'!$F$1</c:f>
              <c:strCache>
                <c:ptCount val="1"/>
                <c:pt idx="0">
                  <c:v>S&amp;P 500 (Real)</c:v>
                </c:pt>
              </c:strCache>
            </c:strRef>
          </c:tx>
          <c:spPr>
            <a:ln w="28575" cap="rnd">
              <a:solidFill>
                <a:schemeClr val="tx1"/>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Data'!$F$2:$F$100</c:f>
              <c:numCache>
                <c:formatCode>0.00%</c:formatCode>
                <c:ptCount val="99"/>
                <c:pt idx="0">
                  <c:v>0.45493157903462444</c:v>
                </c:pt>
                <c:pt idx="1">
                  <c:v>-8.8311023255100762E-2</c:v>
                </c:pt>
                <c:pt idx="2">
                  <c:v>-0.20007858972429649</c:v>
                </c:pt>
                <c:pt idx="3">
                  <c:v>-0.38067434179159909</c:v>
                </c:pt>
                <c:pt idx="4">
                  <c:v>1.8184304688174668E-2</c:v>
                </c:pt>
                <c:pt idx="5">
                  <c:v>0.48845994648775148</c:v>
                </c:pt>
                <c:pt idx="6">
                  <c:v>-2.6633617712147228E-2</c:v>
                </c:pt>
                <c:pt idx="7">
                  <c:v>0.42487081916467706</c:v>
                </c:pt>
                <c:pt idx="8">
                  <c:v>0.30058498468892636</c:v>
                </c:pt>
                <c:pt idx="9">
                  <c:v>-0.37132928987103397</c:v>
                </c:pt>
                <c:pt idx="10">
                  <c:v>0.32976447182995838</c:v>
                </c:pt>
                <c:pt idx="11">
                  <c:v>-1.0975646879756495E-2</c:v>
                </c:pt>
                <c:pt idx="12">
                  <c:v>-0.1130640269044394</c:v>
                </c:pt>
                <c:pt idx="13">
                  <c:v>-0.20650164248222169</c:v>
                </c:pt>
                <c:pt idx="14">
                  <c:v>9.3013782764063135E-2</c:v>
                </c:pt>
                <c:pt idx="15">
                  <c:v>0.21467594185021199</c:v>
                </c:pt>
                <c:pt idx="16">
                  <c:v>0.16355830930106241</c:v>
                </c:pt>
                <c:pt idx="17">
                  <c:v>0.32836006874467061</c:v>
                </c:pt>
                <c:pt idx="18">
                  <c:v>-0.22484209777969133</c:v>
                </c:pt>
                <c:pt idx="19">
                  <c:v>-3.3418809614836564E-2</c:v>
                </c:pt>
                <c:pt idx="20">
                  <c:v>2.8916511793030564E-2</c:v>
                </c:pt>
                <c:pt idx="21">
                  <c:v>0.20507940558312976</c:v>
                </c:pt>
                <c:pt idx="22">
                  <c:v>0.2363165170026138</c:v>
                </c:pt>
                <c:pt idx="23">
                  <c:v>0.16716587073743794</c:v>
                </c:pt>
                <c:pt idx="24">
                  <c:v>0.17089351202724323</c:v>
                </c:pt>
                <c:pt idx="25">
                  <c:v>-1.7964733280136369E-2</c:v>
                </c:pt>
                <c:pt idx="26">
                  <c:v>0.53133221839834022</c:v>
                </c:pt>
                <c:pt idx="27">
                  <c:v>0.32103857889880727</c:v>
                </c:pt>
                <c:pt idx="28">
                  <c:v>4.4842480560589371E-2</c:v>
                </c:pt>
                <c:pt idx="29">
                  <c:v>-0.13099289518406243</c:v>
                </c:pt>
                <c:pt idx="30">
                  <c:v>0.4123946513028951</c:v>
                </c:pt>
                <c:pt idx="31">
                  <c:v>0.10379994765066014</c:v>
                </c:pt>
                <c:pt idx="32">
                  <c:v>-1.0098104552169973E-2</c:v>
                </c:pt>
                <c:pt idx="33">
                  <c:v>0.25793737613784362</c:v>
                </c:pt>
                <c:pt idx="34">
                  <c:v>-9.9220495833972522E-2</c:v>
                </c:pt>
                <c:pt idx="35">
                  <c:v>0.20626629899627469</c:v>
                </c:pt>
                <c:pt idx="36">
                  <c:v>0.15037092934599339</c:v>
                </c:pt>
                <c:pt idx="37">
                  <c:v>0.10281831316597434</c:v>
                </c:pt>
                <c:pt idx="38">
                  <c:v>-0.12897173685667784</c:v>
                </c:pt>
                <c:pt idx="39">
                  <c:v>0.1987040220216727</c:v>
                </c:pt>
                <c:pt idx="40">
                  <c:v>5.8344217646626229E-2</c:v>
                </c:pt>
                <c:pt idx="41">
                  <c:v>-0.13352597380113063</c:v>
                </c:pt>
                <c:pt idx="42">
                  <c:v>-1.9031349582383283E-2</c:v>
                </c:pt>
                <c:pt idx="43">
                  <c:v>0.10608317636955311</c:v>
                </c:pt>
                <c:pt idx="44">
                  <c:v>0.14843417143877868</c:v>
                </c:pt>
                <c:pt idx="45">
                  <c:v>-0.21341082809573453</c:v>
                </c:pt>
                <c:pt idx="46">
                  <c:v>-0.33896967377498333</c:v>
                </c:pt>
                <c:pt idx="47">
                  <c:v>0.27878559508145151</c:v>
                </c:pt>
                <c:pt idx="48">
                  <c:v>0.1789389768296199</c:v>
                </c:pt>
                <c:pt idx="49">
                  <c:v>-0.12802802671303459</c:v>
                </c:pt>
                <c:pt idx="50">
                  <c:v>-2.2749832994962582E-2</c:v>
                </c:pt>
                <c:pt idx="51">
                  <c:v>4.648545255804537E-2</c:v>
                </c:pt>
                <c:pt idx="52">
                  <c:v>0.17250463297351737</c:v>
                </c:pt>
                <c:pt idx="53">
                  <c:v>-0.12500390450399779</c:v>
                </c:pt>
                <c:pt idx="54">
                  <c:v>0.15981911880369659</c:v>
                </c:pt>
                <c:pt idx="55">
                  <c:v>0.17873180635098795</c:v>
                </c:pt>
                <c:pt idx="56">
                  <c:v>2.0210337241377996E-2</c:v>
                </c:pt>
                <c:pt idx="57">
                  <c:v>0.26441170440855077</c:v>
                </c:pt>
                <c:pt idx="58">
                  <c:v>0.17104304741721998</c:v>
                </c:pt>
                <c:pt idx="59">
                  <c:v>1.419113787691173E-2</c:v>
                </c:pt>
                <c:pt idx="60">
                  <c:v>0.11613091103956763</c:v>
                </c:pt>
                <c:pt idx="61">
                  <c:v>0.25645724599670405</c:v>
                </c:pt>
                <c:pt idx="62">
                  <c:v>-8.7707929022631026E-2</c:v>
                </c:pt>
                <c:pt idx="63">
                  <c:v>0.26465378134586826</c:v>
                </c:pt>
                <c:pt idx="64">
                  <c:v>4.3965840730271655E-2</c:v>
                </c:pt>
                <c:pt idx="65">
                  <c:v>6.9604363962702642E-2</c:v>
                </c:pt>
                <c:pt idx="66">
                  <c:v>-1.2392900039792543E-2</c:v>
                </c:pt>
                <c:pt idx="67">
                  <c:v>0.33807657345420949</c:v>
                </c:pt>
                <c:pt idx="68">
                  <c:v>0.18671277171538403</c:v>
                </c:pt>
                <c:pt idx="69">
                  <c:v>0.30882511443206151</c:v>
                </c:pt>
                <c:pt idx="70">
                  <c:v>0.2630828026126919</c:v>
                </c:pt>
                <c:pt idx="71">
                  <c:v>0.17734309921349478</c:v>
                </c:pt>
                <c:pt idx="72">
                  <c:v>-0.12053672362151302</c:v>
                </c:pt>
                <c:pt idx="73">
                  <c:v>-0.13241085821014309</c:v>
                </c:pt>
                <c:pt idx="74">
                  <c:v>-0.23854658031163167</c:v>
                </c:pt>
                <c:pt idx="75">
                  <c:v>0.25795607839265511</c:v>
                </c:pt>
                <c:pt idx="76">
                  <c:v>7.1611087733429724E-2</c:v>
                </c:pt>
                <c:pt idx="77">
                  <c:v>1.4475987163249604E-2</c:v>
                </c:pt>
                <c:pt idx="78">
                  <c:v>0.12766357665119621</c:v>
                </c:pt>
                <c:pt idx="79">
                  <c:v>1.3216222973077452E-2</c:v>
                </c:pt>
                <c:pt idx="80">
                  <c:v>-0.36538236561785886</c:v>
                </c:pt>
                <c:pt idx="81">
                  <c:v>0.2248826705676612</c:v>
                </c:pt>
                <c:pt idx="82">
                  <c:v>0.1319360593198986</c:v>
                </c:pt>
                <c:pt idx="83">
                  <c:v>-9.3506298327983295E-3</c:v>
                </c:pt>
                <c:pt idx="84">
                  <c:v>0.13886747912214847</c:v>
                </c:pt>
                <c:pt idx="85">
                  <c:v>0.30175735264746284</c:v>
                </c:pt>
                <c:pt idx="86">
                  <c:v>0.12787782087095012</c:v>
                </c:pt>
                <c:pt idx="87">
                  <c:v>7.354740214975175E-3</c:v>
                </c:pt>
                <c:pt idx="88">
                  <c:v>9.5269031450984976E-2</c:v>
                </c:pt>
                <c:pt idx="89">
                  <c:v>0.19069386843307612</c:v>
                </c:pt>
                <c:pt idx="90">
                  <c:v>-6.1069646503233876E-2</c:v>
                </c:pt>
                <c:pt idx="91">
                  <c:v>0.28244123796568532</c:v>
                </c:pt>
                <c:pt idx="92">
                  <c:v>0.16483246712583433</c:v>
                </c:pt>
                <c:pt idx="93">
                  <c:v>0.19846540345428454</c:v>
                </c:pt>
                <c:pt idx="94">
                  <c:v>-0.23000103083508328</c:v>
                </c:pt>
                <c:pt idx="95">
                  <c:v>0.22246591335360844</c:v>
                </c:pt>
                <c:pt idx="96">
                  <c:v>0</c:v>
                </c:pt>
                <c:pt idx="97">
                  <c:v>0</c:v>
                </c:pt>
              </c:numCache>
            </c:numRef>
          </c:val>
          <c:smooth val="0"/>
          <c:extLst>
            <c:ext xmlns:c16="http://schemas.microsoft.com/office/drawing/2014/chart" uri="{C3380CC4-5D6E-409C-BE32-E72D297353CC}">
              <c16:uniqueId val="{00000005-A4C6-F443-B2F5-3D62F8348551}"/>
            </c:ext>
          </c:extLst>
        </c:ser>
        <c:dLbls>
          <c:showLegendKey val="0"/>
          <c:showVal val="0"/>
          <c:showCatName val="0"/>
          <c:showSerName val="0"/>
          <c:showPercent val="0"/>
          <c:showBubbleSize val="0"/>
        </c:dLbls>
        <c:marker val="1"/>
        <c:smooth val="0"/>
        <c:axId val="1283263328"/>
        <c:axId val="1283208032"/>
      </c:lineChart>
      <c:catAx>
        <c:axId val="128326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08032"/>
        <c:crosses val="autoZero"/>
        <c:auto val="1"/>
        <c:lblAlgn val="ctr"/>
        <c:lblOffset val="100"/>
        <c:noMultiLvlLbl val="0"/>
      </c:catAx>
      <c:valAx>
        <c:axId val="128320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6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i="1">
                <a:latin typeface="Times New Roman" panose="02020603050405020304" pitchFamily="18" charset="0"/>
                <a:cs typeface="Times New Roman" panose="02020603050405020304" pitchFamily="18" charset="0"/>
              </a:rPr>
              <a:t>Figure 3a: Nominal and Real Returns on US Stocks - Cumulative</a:t>
            </a:r>
            <a:r>
              <a:rPr lang="en-US" i="1" baseline="0">
                <a:latin typeface="Times New Roman" panose="02020603050405020304" pitchFamily="18" charset="0"/>
                <a:cs typeface="Times New Roman" panose="02020603050405020304" pitchFamily="18" charset="0"/>
              </a:rPr>
              <a:t> Effect</a:t>
            </a:r>
            <a:endParaRPr lang="en-US"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areaChart>
        <c:grouping val="standard"/>
        <c:varyColors val="0"/>
        <c:ser>
          <c:idx val="1"/>
          <c:order val="0"/>
          <c:tx>
            <c:strRef>
              <c:f>'Nominal vs Real Data'!$J$1</c:f>
              <c:strCache>
                <c:ptCount val="1"/>
                <c:pt idx="0">
                  <c:v>Nominal value of $100 invested in 1928</c:v>
                </c:pt>
              </c:strCache>
            </c:strRef>
          </c:tx>
          <c:spPr>
            <a:solidFill>
              <a:srgbClr val="FF0000"/>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Data'!$J$2:$J$100</c:f>
              <c:numCache>
                <c:formatCode>_("$"* #,##0.00_);_("$"* \(#,##0.00\);_("$"* "-"??_);_(@_)</c:formatCode>
                <c:ptCount val="99"/>
                <c:pt idx="0">
                  <c:v>143.81115515288789</c:v>
                </c:pt>
                <c:pt idx="1">
                  <c:v>131.87778227633069</c:v>
                </c:pt>
                <c:pt idx="2">
                  <c:v>98.745287812797272</c:v>
                </c:pt>
                <c:pt idx="3">
                  <c:v>55.457773989527276</c:v>
                </c:pt>
                <c:pt idx="4">
                  <c:v>50.664911000008722</c:v>
                </c:pt>
                <c:pt idx="5">
                  <c:v>75.988361031728402</c:v>
                </c:pt>
                <c:pt idx="6">
                  <c:v>75.085189438723404</c:v>
                </c:pt>
                <c:pt idx="7">
                  <c:v>110.18032313054879</c:v>
                </c:pt>
                <c:pt idx="8">
                  <c:v>145.37567579101449</c:v>
                </c:pt>
                <c:pt idx="9">
                  <c:v>94.004667561917856</c:v>
                </c:pt>
                <c:pt idx="10">
                  <c:v>121.53172913465568</c:v>
                </c:pt>
                <c:pt idx="11">
                  <c:v>120.19783979098749</c:v>
                </c:pt>
                <c:pt idx="12">
                  <c:v>107.36927676790187</c:v>
                </c:pt>
                <c:pt idx="13">
                  <c:v>93.656657282615996</c:v>
                </c:pt>
                <c:pt idx="14">
                  <c:v>111.61416273305268</c:v>
                </c:pt>
                <c:pt idx="15">
                  <c:v>139.58613420800171</c:v>
                </c:pt>
                <c:pt idx="16">
                  <c:v>166.15032047534245</c:v>
                </c:pt>
                <c:pt idx="17">
                  <c:v>225.66716689959119</c:v>
                </c:pt>
                <c:pt idx="18">
                  <c:v>206.64534862054904</c:v>
                </c:pt>
                <c:pt idx="19">
                  <c:v>217.3909067488176</c:v>
                </c:pt>
                <c:pt idx="20">
                  <c:v>229.79213442269784</c:v>
                </c:pt>
                <c:pt idx="21">
                  <c:v>271.85150279480598</c:v>
                </c:pt>
                <c:pt idx="22">
                  <c:v>355.59682354110947</c:v>
                </c:pt>
                <c:pt idx="23">
                  <c:v>439.7966859908575</c:v>
                </c:pt>
                <c:pt idx="24">
                  <c:v>519.62413250918712</c:v>
                </c:pt>
                <c:pt idx="25">
                  <c:v>513.34600909864514</c:v>
                </c:pt>
                <c:pt idx="26">
                  <c:v>783.17772094125166</c:v>
                </c:pt>
                <c:pt idx="27">
                  <c:v>1038.4727616197922</c:v>
                </c:pt>
                <c:pt idx="28">
                  <c:v>1115.7300660220119</c:v>
                </c:pt>
                <c:pt idx="29">
                  <c:v>999.05415428605454</c:v>
                </c:pt>
                <c:pt idx="30">
                  <c:v>1435.8401808531264</c:v>
                </c:pt>
                <c:pt idx="31">
                  <c:v>1608.9516371948275</c:v>
                </c:pt>
                <c:pt idx="32">
                  <c:v>1614.366327651135</c:v>
                </c:pt>
                <c:pt idx="33">
                  <c:v>2044.3965961044005</c:v>
                </c:pt>
                <c:pt idx="34">
                  <c:v>1864.2553972252979</c:v>
                </c:pt>
                <c:pt idx="35">
                  <c:v>2285.7994686007432</c:v>
                </c:pt>
                <c:pt idx="36">
                  <c:v>2661.0238718383412</c:v>
                </c:pt>
                <c:pt idx="37">
                  <c:v>2990.9706741017444</c:v>
                </c:pt>
                <c:pt idx="38">
                  <c:v>2692.7423569857124</c:v>
                </c:pt>
                <c:pt idx="39">
                  <c:v>3333.6949185039784</c:v>
                </c:pt>
                <c:pt idx="40">
                  <c:v>3694.2294451636035</c:v>
                </c:pt>
                <c:pt idx="41">
                  <c:v>3389.7742881722256</c:v>
                </c:pt>
                <c:pt idx="42">
                  <c:v>3510.4890625432981</c:v>
                </c:pt>
                <c:pt idx="43">
                  <c:v>4009.720988337403</c:v>
                </c:pt>
                <c:pt idx="44">
                  <c:v>4761.7587115820115</c:v>
                </c:pt>
                <c:pt idx="45">
                  <c:v>4080.4440162683081</c:v>
                </c:pt>
                <c:pt idx="46">
                  <c:v>3023.5361494891954</c:v>
                </c:pt>
                <c:pt idx="47">
                  <c:v>4142.0974934477708</c:v>
                </c:pt>
                <c:pt idx="48">
                  <c:v>5129.2007057775936</c:v>
                </c:pt>
                <c:pt idx="49">
                  <c:v>4771.1976750535359</c:v>
                </c:pt>
                <c:pt idx="50">
                  <c:v>5081.7684777098611</c:v>
                </c:pt>
                <c:pt idx="51">
                  <c:v>6022.8860912752862</c:v>
                </c:pt>
                <c:pt idx="52">
                  <c:v>7934.2637789341807</c:v>
                </c:pt>
                <c:pt idx="53">
                  <c:v>7561.1637327830058</c:v>
                </c:pt>
                <c:pt idx="54">
                  <c:v>9105.0819200356327</c:v>
                </c:pt>
                <c:pt idx="55">
                  <c:v>11138.898259597305</c:v>
                </c:pt>
                <c:pt idx="56">
                  <c:v>11823.510763827162</c:v>
                </c:pt>
                <c:pt idx="57">
                  <c:v>15516.602025374559</c:v>
                </c:pt>
                <c:pt idx="58">
                  <c:v>18386.332207530046</c:v>
                </c:pt>
                <c:pt idx="59">
                  <c:v>19455.07851889441</c:v>
                </c:pt>
                <c:pt idx="60">
                  <c:v>22672.402365298665</c:v>
                </c:pt>
                <c:pt idx="61">
                  <c:v>29808.582644967279</c:v>
                </c:pt>
                <c:pt idx="62">
                  <c:v>28895.113053319994</c:v>
                </c:pt>
                <c:pt idx="63">
                  <c:v>37631.505158637461</c:v>
                </c:pt>
                <c:pt idx="64">
                  <c:v>40451.507787137925</c:v>
                </c:pt>
                <c:pt idx="65">
                  <c:v>44483.33039239249</c:v>
                </c:pt>
                <c:pt idx="66">
                  <c:v>45073.144068086905</c:v>
                </c:pt>
                <c:pt idx="67">
                  <c:v>61838.189655870119</c:v>
                </c:pt>
                <c:pt idx="68">
                  <c:v>75863.688438399797</c:v>
                </c:pt>
                <c:pt idx="69">
                  <c:v>100977.34069068384</c:v>
                </c:pt>
                <c:pt idx="70">
                  <c:v>129592.25231742462</c:v>
                </c:pt>
                <c:pt idx="71">
                  <c:v>156658.0490724665</c:v>
                </c:pt>
                <c:pt idx="72">
                  <c:v>142508.97770141574</c:v>
                </c:pt>
                <c:pt idx="73">
                  <c:v>125622.00708807123</c:v>
                </c:pt>
                <c:pt idx="74">
                  <c:v>98027.816765413008</c:v>
                </c:pt>
                <c:pt idx="75">
                  <c:v>125824.38848080393</c:v>
                </c:pt>
                <c:pt idx="76">
                  <c:v>139341.42061832585</c:v>
                </c:pt>
                <c:pt idx="77">
                  <c:v>146077.8502787223</c:v>
                </c:pt>
                <c:pt idx="78">
                  <c:v>168884.33934842583</c:v>
                </c:pt>
                <c:pt idx="79">
                  <c:v>178147.19823435548</c:v>
                </c:pt>
                <c:pt idx="80">
                  <c:v>113030.22131020659</c:v>
                </c:pt>
                <c:pt idx="81">
                  <c:v>142344.87355944986</c:v>
                </c:pt>
                <c:pt idx="82">
                  <c:v>163441.93862372241</c:v>
                </c:pt>
                <c:pt idx="83">
                  <c:v>166871.56296795449</c:v>
                </c:pt>
                <c:pt idx="84">
                  <c:v>193388.43092558492</c:v>
                </c:pt>
                <c:pt idx="85">
                  <c:v>255553.30808629587</c:v>
                </c:pt>
                <c:pt idx="86">
                  <c:v>290115.4150110358</c:v>
                </c:pt>
                <c:pt idx="87">
                  <c:v>294115.79221836175</c:v>
                </c:pt>
                <c:pt idx="88">
                  <c:v>328742.28230178286</c:v>
                </c:pt>
                <c:pt idx="89">
                  <c:v>399768.63507184375</c:v>
                </c:pt>
                <c:pt idx="90">
                  <c:v>382870.93740858353</c:v>
                </c:pt>
                <c:pt idx="91">
                  <c:v>502371.38919333258</c:v>
                </c:pt>
                <c:pt idx="92">
                  <c:v>592914.79859087302</c:v>
                </c:pt>
                <c:pt idx="93">
                  <c:v>761710.83361716557</c:v>
                </c:pt>
                <c:pt idx="94">
                  <c:v>624317.19685550791</c:v>
                </c:pt>
                <c:pt idx="95">
                  <c:v>787018.53483535454</c:v>
                </c:pt>
                <c:pt idx="96">
                  <c:v>982817.81668107596</c:v>
                </c:pt>
                <c:pt idx="97">
                  <c:v>1157009.0876078464</c:v>
                </c:pt>
              </c:numCache>
            </c:numRef>
          </c:val>
          <c:extLst>
            <c:ext xmlns:c16="http://schemas.microsoft.com/office/drawing/2014/chart" uri="{C3380CC4-5D6E-409C-BE32-E72D297353CC}">
              <c16:uniqueId val="{00000001-80C6-304A-8A54-9E383E7A6A08}"/>
            </c:ext>
          </c:extLst>
        </c:ser>
        <c:ser>
          <c:idx val="2"/>
          <c:order val="1"/>
          <c:tx>
            <c:strRef>
              <c:f>'Nominal vs Real Data'!$K$1</c:f>
              <c:strCache>
                <c:ptCount val="1"/>
                <c:pt idx="0">
                  <c:v>Real value of $100 invested in 1928</c:v>
                </c:pt>
              </c:strCache>
            </c:strRef>
          </c:tx>
          <c:spPr>
            <a:solidFill>
              <a:srgbClr val="00B050"/>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Data'!$K$2:$K$100</c:f>
              <c:numCache>
                <c:formatCode>"$"#,##0.00</c:formatCode>
                <c:ptCount val="99"/>
                <c:pt idx="0">
                  <c:v>145.49315790346245</c:v>
                </c:pt>
                <c:pt idx="1">
                  <c:v>116.3830920556033</c:v>
                </c:pt>
                <c:pt idx="2">
                  <c:v>72.079035091665432</c:v>
                </c:pt>
                <c:pt idx="3">
                  <c:v>73.389742227401911</c:v>
                </c:pt>
                <c:pt idx="4">
                  <c:v>109.23769178854852</c:v>
                </c:pt>
                <c:pt idx="5">
                  <c:v>106.32829686569495</c:v>
                </c:pt>
                <c:pt idx="6">
                  <c:v>151.50408745540773</c:v>
                </c:pt>
                <c:pt idx="7">
                  <c:v>197.04394126350121</c:v>
                </c:pt>
                <c:pt idx="8">
                  <c:v>123.87575448073558</c:v>
                </c:pt>
                <c:pt idx="9">
                  <c:v>164.72557722961295</c:v>
                </c:pt>
                <c:pt idx="10">
                  <c:v>162.91760746187666</c:v>
                </c:pt>
                <c:pt idx="11">
                  <c:v>144.49748670860015</c:v>
                </c:pt>
                <c:pt idx="12">
                  <c:v>114.65851836872122</c:v>
                </c:pt>
                <c:pt idx="13">
                  <c:v>125.3233408883188</c:v>
                </c:pt>
                <c:pt idx="14">
                  <c:v>152.22724712933382</c:v>
                </c:pt>
                <c:pt idx="15">
                  <c:v>177.12527829936266</c:v>
                </c:pt>
                <c:pt idx="16">
                  <c:v>235.28614685816029</c:v>
                </c:pt>
                <c:pt idx="17">
                  <c:v>182.38391602007101</c:v>
                </c:pt>
                <c:pt idx="18">
                  <c:v>176.28886265378793</c:v>
                </c:pt>
                <c:pt idx="19">
                  <c:v>181.38652162969615</c:v>
                </c:pt>
                <c:pt idx="20">
                  <c:v>218.58516166630574</c:v>
                </c:pt>
                <c:pt idx="21">
                  <c:v>270.24044573974038</c:v>
                </c:pt>
                <c:pt idx="22">
                  <c:v>315.41542516029745</c:v>
                </c:pt>
                <c:pt idx="23">
                  <c:v>369.31787491350678</c:v>
                </c:pt>
                <c:pt idx="24">
                  <c:v>362.68317779509886</c:v>
                </c:pt>
                <c:pt idx="25">
                  <c:v>555.38843522872833</c:v>
                </c:pt>
                <c:pt idx="26">
                  <c:v>733.68954921139152</c:v>
                </c:pt>
                <c:pt idx="27">
                  <c:v>766.59000855941088</c:v>
                </c:pt>
                <c:pt idx="28">
                  <c:v>666.17216391903844</c:v>
                </c:pt>
                <c:pt idx="29">
                  <c:v>940.89800116612537</c:v>
                </c:pt>
                <c:pt idx="30">
                  <c:v>1038.56316443178</c:v>
                </c:pt>
                <c:pt idx="31">
                  <c:v>1028.0756450133154</c:v>
                </c:pt>
                <c:pt idx="32">
                  <c:v>1293.254779359271</c:v>
                </c:pt>
                <c:pt idx="33">
                  <c:v>1164.9373989115893</c:v>
                </c:pt>
                <c:pt idx="34">
                  <c:v>1405.2247247474297</c:v>
                </c:pt>
                <c:pt idx="35">
                  <c:v>1616.5296725476685</c:v>
                </c:pt>
                <c:pt idx="36">
                  <c:v>1782.7385266617646</c:v>
                </c:pt>
                <c:pt idx="37">
                  <c:v>1552.815642516882</c:v>
                </c:pt>
                <c:pt idx="38">
                  <c:v>1861.3663561431545</c:v>
                </c:pt>
                <c:pt idx="39">
                  <c:v>1969.9663199460783</c:v>
                </c:pt>
                <c:pt idx="40">
                  <c:v>1706.9246487198486</c:v>
                </c:pt>
                <c:pt idx="41">
                  <c:v>1674.4395690192744</c:v>
                </c:pt>
                <c:pt idx="42">
                  <c:v>1852.0694371397046</c:v>
                </c:pt>
                <c:pt idx="43">
                  <c:v>2126.9798294886218</c:v>
                </c:pt>
                <c:pt idx="44">
                  <c:v>1673.0593027345308</c:v>
                </c:pt>
                <c:pt idx="45">
                  <c:v>1105.9429366804059</c:v>
                </c:pt>
                <c:pt idx="46">
                  <c:v>1414.2638964089808</c:v>
                </c:pt>
                <c:pt idx="47">
                  <c:v>1667.3308309994754</c:v>
                </c:pt>
                <c:pt idx="48">
                  <c:v>1453.8657548288083</c:v>
                </c:pt>
                <c:pt idx="49">
                  <c:v>1420.7905517093577</c:v>
                </c:pt>
                <c:pt idx="50">
                  <c:v>1486.8366434957622</c:v>
                </c:pt>
                <c:pt idx="51">
                  <c:v>1743.3228529735752</c:v>
                </c:pt>
                <c:pt idx="52">
                  <c:v>1525.4006895408295</c:v>
                </c:pt>
                <c:pt idx="53">
                  <c:v>1769.188883565796</c:v>
                </c:pt>
                <c:pt idx="54">
                  <c:v>2085.3992085015984</c:v>
                </c:pt>
                <c:pt idx="55">
                  <c:v>2127.5458297883183</c:v>
                </c:pt>
                <c:pt idx="56">
                  <c:v>2690.0938488499519</c:v>
                </c:pt>
                <c:pt idx="57">
                  <c:v>3150.2156985955662</c:v>
                </c:pt>
                <c:pt idx="58">
                  <c:v>3194.9208439163476</c:v>
                </c:pt>
                <c:pt idx="59">
                  <c:v>3565.9499122196571</c:v>
                </c:pt>
                <c:pt idx="60">
                  <c:v>4480.4636060696994</c:v>
                </c:pt>
                <c:pt idx="61">
                  <c:v>4087.4914221200565</c:v>
                </c:pt>
                <c:pt idx="62">
                  <c:v>5169.2614832029303</c:v>
                </c:pt>
                <c:pt idx="63">
                  <c:v>5396.5324102665581</c:v>
                </c:pt>
                <c:pt idx="64">
                  <c:v>5772.1546162872728</c:v>
                </c:pt>
                <c:pt idx="65">
                  <c:v>5700.6208811133974</c:v>
                </c:pt>
                <c:pt idx="66">
                  <c:v>7627.867255161731</c:v>
                </c:pt>
                <c:pt idx="67">
                  <c:v>9052.0874926499964</c:v>
                </c:pt>
                <c:pt idx="68">
                  <c:v>11847.599448416664</c:v>
                </c:pt>
                <c:pt idx="69">
                  <c:v>14964.499115538703</c:v>
                </c:pt>
                <c:pt idx="70">
                  <c:v>17618.34976686594</c:v>
                </c:pt>
                <c:pt idx="71">
                  <c:v>15494.691610350072</c:v>
                </c:pt>
                <c:pt idx="72">
                  <c:v>13443.026196522114</c:v>
                </c:pt>
                <c:pt idx="73">
                  <c:v>10236.238268302084</c:v>
                </c:pt>
                <c:pt idx="74">
                  <c:v>12876.738149486113</c:v>
                </c:pt>
                <c:pt idx="75">
                  <c:v>13798.855374829365</c:v>
                </c:pt>
                <c:pt idx="76">
                  <c:v>13998.607428102932</c:v>
                </c:pt>
                <c:pt idx="77">
                  <c:v>15785.719720510555</c:v>
                </c:pt>
                <c:pt idx="78">
                  <c:v>15994.347312127329</c:v>
                </c:pt>
                <c:pt idx="79">
                  <c:v>10150.294854708603</c:v>
                </c:pt>
                <c:pt idx="80">
                  <c:v>12432.920268684666</c:v>
                </c:pt>
                <c:pt idx="81">
                  <c:v>14073.270774773415</c:v>
                </c:pt>
                <c:pt idx="82">
                  <c:v>13941.676829221769</c:v>
                </c:pt>
                <c:pt idx="83">
                  <c:v>15877.722345231465</c:v>
                </c:pt>
                <c:pt idx="84">
                  <c:v>20668.941806199975</c:v>
                </c:pt>
                <c:pt idx="85">
                  <c:v>23312.041044085308</c:v>
                </c:pt>
                <c:pt idx="86">
                  <c:v>23483.495049845395</c:v>
                </c:pt>
                <c:pt idx="87">
                  <c:v>25720.744878328165</c:v>
                </c:pt>
                <c:pt idx="88">
                  <c:v>30625.533218156794</c:v>
                </c:pt>
                <c:pt idx="89">
                  <c:v>28755.242730550912</c:v>
                </c:pt>
                <c:pt idx="90">
                  <c:v>36876.909085371488</c:v>
                </c:pt>
                <c:pt idx="91">
                  <c:v>42955.420989888364</c:v>
                </c:pt>
                <c:pt idx="92">
                  <c:v>51480.585947195199</c:v>
                </c:pt>
                <c:pt idx="93">
                  <c:v>39639.998111346198</c:v>
                </c:pt>
                <c:pt idx="94">
                  <c:v>48458.54649652214</c:v>
                </c:pt>
                <c:pt idx="95">
                  <c:v>0</c:v>
                </c:pt>
                <c:pt idx="96">
                  <c:v>0</c:v>
                </c:pt>
                <c:pt idx="97">
                  <c:v>0</c:v>
                </c:pt>
              </c:numCache>
            </c:numRef>
          </c:val>
          <c:extLst>
            <c:ext xmlns:c16="http://schemas.microsoft.com/office/drawing/2014/chart" uri="{C3380CC4-5D6E-409C-BE32-E72D297353CC}">
              <c16:uniqueId val="{00000002-80C6-304A-8A54-9E383E7A6A08}"/>
            </c:ext>
          </c:extLst>
        </c:ser>
        <c:ser>
          <c:idx val="0"/>
          <c:order val="2"/>
          <c:spPr>
            <a:solidFill>
              <a:schemeClr val="accent1"/>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Data'!$J$97</c:f>
              <c:numCache>
                <c:formatCode>_("$"* #,##0.00_);_("$"* \(#,##0.00\);_("$"* "-"??_);_(@_)</c:formatCode>
                <c:ptCount val="1"/>
                <c:pt idx="0">
                  <c:v>787018.53483535454</c:v>
                </c:pt>
              </c:numCache>
            </c:numRef>
          </c:val>
          <c:extLst>
            <c:ext xmlns:c16="http://schemas.microsoft.com/office/drawing/2014/chart" uri="{C3380CC4-5D6E-409C-BE32-E72D297353CC}">
              <c16:uniqueId val="{00000003-80C6-304A-8A54-9E383E7A6A08}"/>
            </c:ext>
          </c:extLst>
        </c:ser>
        <c:ser>
          <c:idx val="3"/>
          <c:order val="3"/>
          <c:spPr>
            <a:solidFill>
              <a:schemeClr val="accent4"/>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Data'!$K$97</c:f>
              <c:numCache>
                <c:formatCode>"$"#,##0.00</c:formatCode>
                <c:ptCount val="1"/>
                <c:pt idx="0">
                  <c:v>0</c:v>
                </c:pt>
              </c:numCache>
            </c:numRef>
          </c:val>
          <c:extLst>
            <c:ext xmlns:c16="http://schemas.microsoft.com/office/drawing/2014/chart" uri="{C3380CC4-5D6E-409C-BE32-E72D297353CC}">
              <c16:uniqueId val="{00000004-80C6-304A-8A54-9E383E7A6A08}"/>
            </c:ext>
          </c:extLst>
        </c:ser>
        <c:dLbls>
          <c:showLegendKey val="0"/>
          <c:showVal val="0"/>
          <c:showCatName val="0"/>
          <c:showSerName val="0"/>
          <c:showPercent val="0"/>
          <c:showBubbleSize val="0"/>
        </c:dLbls>
        <c:axId val="913301520"/>
        <c:axId val="913303168"/>
      </c:areaChart>
      <c:catAx>
        <c:axId val="91330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03168"/>
        <c:crosses val="autoZero"/>
        <c:auto val="1"/>
        <c:lblAlgn val="ctr"/>
        <c:lblOffset val="100"/>
        <c:noMultiLvlLbl val="0"/>
      </c:catAx>
      <c:valAx>
        <c:axId val="91330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 of $100 invested on Jan 1, 1928 on December 31, 2023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01520"/>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C037A3-1F00-B346-8DC8-63794D506D76}">
  <sheetPr/>
  <sheetViews>
    <sheetView zoomScale="17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D1E9D17-45E6-E44A-A31D-2D23B3E4A017}">
  <sheetPr/>
  <sheetViews>
    <sheetView zoomScale="130"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3D4BEB8-916F-DB4E-B617-438A0C2DC9CD}">
  <sheetPr/>
  <sheetViews>
    <sheetView zoomScale="130"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6468AC2-2932-3F44-8D67-BE2BFF75FE45}">
  <sheetPr/>
  <sheetViews>
    <sheetView zoomScale="130"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59AAD7-C6E4-8344-AF03-9DF5E4137E62}">
  <sheetPr/>
  <sheetViews>
    <sheetView zoomScale="13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71034" cy="6284310"/>
    <xdr:graphicFrame macro="">
      <xdr:nvGraphicFramePr>
        <xdr:cNvPr id="2" name="Chart 1">
          <a:extLst>
            <a:ext uri="{FF2B5EF4-FFF2-40B4-BE49-F238E27FC236}">
              <a16:creationId xmlns:a16="http://schemas.microsoft.com/office/drawing/2014/main" id="{00984CD3-7D62-E247-B088-684C952A52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0.69257</cdr:x>
      <cdr:y>0.28571</cdr:y>
    </cdr:from>
    <cdr:to>
      <cdr:x>0.90315</cdr:x>
      <cdr:y>0.43727</cdr:y>
    </cdr:to>
    <cdr:sp macro="" textlink="">
      <cdr:nvSpPr>
        <cdr:cNvPr id="2" name="TextBox 1">
          <a:extLst xmlns:a="http://schemas.openxmlformats.org/drawingml/2006/main">
            <a:ext uri="{FF2B5EF4-FFF2-40B4-BE49-F238E27FC236}">
              <a16:creationId xmlns:a16="http://schemas.microsoft.com/office/drawing/2014/main" id="{A5901FEA-47E5-047D-9E2A-7C3BCB535453}"/>
            </a:ext>
          </a:extLst>
        </cdr:cNvPr>
        <cdr:cNvSpPr txBox="1"/>
      </cdr:nvSpPr>
      <cdr:spPr>
        <a:xfrm xmlns:a="http://schemas.openxmlformats.org/drawingml/2006/main">
          <a:off x="6008077" y="1797537"/>
          <a:ext cx="1826846" cy="953466"/>
        </a:xfrm>
        <a:prstGeom xmlns:a="http://schemas.openxmlformats.org/drawingml/2006/main" prst="rect">
          <a:avLst/>
        </a:prstGeom>
      </cdr:spPr>
      <cdr:txBody>
        <a:bodyPr xmlns:a="http://schemas.openxmlformats.org/drawingml/2006/main" vertOverflow="clip" wrap="square" rtlCol="0">
          <a:spAutoFit/>
        </a:bodyPr>
        <a:lstStyle xmlns:a="http://schemas.openxmlformats.org/drawingml/2006/main"/>
        <a:p xmlns:a="http://schemas.openxmlformats.org/drawingml/2006/main">
          <a:r>
            <a:rPr lang="en-US" sz="1100"/>
            <a:t>If</a:t>
          </a:r>
          <a:r>
            <a:rPr lang="en-US" sz="1100" baseline="0"/>
            <a:t> you had invested $100 in the S&amp;P 500 in 2010, it would be worth $660 in September 2025, an annual return of 18.74% a year</a:t>
          </a:r>
          <a:endParaRPr lang="en-US" sz="1100"/>
        </a:p>
      </cdr:txBody>
    </cdr:sp>
  </cdr:relSizeAnchor>
  <cdr:relSizeAnchor xmlns:cdr="http://schemas.openxmlformats.org/drawingml/2006/chartDrawing">
    <cdr:from>
      <cdr:x>0.1464</cdr:x>
      <cdr:y>0.49689</cdr:y>
    </cdr:from>
    <cdr:to>
      <cdr:x>0.68556</cdr:x>
      <cdr:y>0.53895</cdr:y>
    </cdr:to>
    <cdr:sp macro="" textlink="">
      <cdr:nvSpPr>
        <cdr:cNvPr id="3" name="TextBox 2">
          <a:extLst xmlns:a="http://schemas.openxmlformats.org/drawingml/2006/main">
            <a:ext uri="{FF2B5EF4-FFF2-40B4-BE49-F238E27FC236}">
              <a16:creationId xmlns:a16="http://schemas.microsoft.com/office/drawing/2014/main" id="{B6BCD2AC-36EF-4091-7E66-807DC81650D4}"/>
            </a:ext>
          </a:extLst>
        </cdr:cNvPr>
        <cdr:cNvSpPr txBox="1"/>
      </cdr:nvSpPr>
      <cdr:spPr>
        <a:xfrm xmlns:a="http://schemas.openxmlformats.org/drawingml/2006/main">
          <a:off x="1270000" y="3126154"/>
          <a:ext cx="4677306" cy="264560"/>
        </a:xfrm>
        <a:prstGeom xmlns:a="http://schemas.openxmlformats.org/drawingml/2006/main" prst="rect">
          <a:avLst/>
        </a:prstGeom>
      </cdr:spPr>
      <cdr:txBody>
        <a:bodyPr xmlns:a="http://schemas.openxmlformats.org/drawingml/2006/main" vertOverflow="clip" wrap="none" rtlCol="0">
          <a:spAutoFit/>
        </a:bodyPr>
        <a:lstStyle xmlns:a="http://schemas.openxmlformats.org/drawingml/2006/main"/>
        <a:p xmlns:a="http://schemas.openxmlformats.org/drawingml/2006/main">
          <a:r>
            <a:rPr lang="en-US" sz="1100"/>
            <a:t>The</a:t>
          </a:r>
          <a:r>
            <a:rPr lang="en-US" sz="1100" baseline="0"/>
            <a:t> compounded annual return on stocks between 1927 and 2024 was </a:t>
          </a:r>
          <a:r>
            <a:rPr lang="en-US" sz="1100" b="1" baseline="0"/>
            <a:t>9.94%</a:t>
          </a:r>
          <a:r>
            <a:rPr lang="en-US" sz="1100" baseline="0"/>
            <a:t>.</a:t>
          </a:r>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66408" cy="6278451"/>
    <xdr:graphicFrame macro="">
      <xdr:nvGraphicFramePr>
        <xdr:cNvPr id="2" name="Chart 1">
          <a:extLst>
            <a:ext uri="{FF2B5EF4-FFF2-40B4-BE49-F238E27FC236}">
              <a16:creationId xmlns:a16="http://schemas.microsoft.com/office/drawing/2014/main" id="{1AA1F66C-1937-5620-151F-A1676426E49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160</xdr:row>
      <xdr:rowOff>0</xdr:rowOff>
    </xdr:from>
    <xdr:to>
      <xdr:col>1</xdr:col>
      <xdr:colOff>38100</xdr:colOff>
      <xdr:row>160</xdr:row>
      <xdr:rowOff>0</xdr:rowOff>
    </xdr:to>
    <xdr:pic>
      <xdr:nvPicPr>
        <xdr:cNvPr id="2059" name="Picture 1" descr="page1image1078071744">
          <a:extLst>
            <a:ext uri="{FF2B5EF4-FFF2-40B4-BE49-F238E27FC236}">
              <a16:creationId xmlns:a16="http://schemas.microsoft.com/office/drawing/2014/main" id="{1A19C309-91E0-A65E-8271-1BE6670109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44800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8675077" cy="6291385"/>
    <xdr:graphicFrame macro="">
      <xdr:nvGraphicFramePr>
        <xdr:cNvPr id="2" name="Chart 1">
          <a:extLst>
            <a:ext uri="{FF2B5EF4-FFF2-40B4-BE49-F238E27FC236}">
              <a16:creationId xmlns:a16="http://schemas.microsoft.com/office/drawing/2014/main" id="{62EFD40B-0FED-06E7-2D87-CC9C335F700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75077" cy="6291385"/>
    <xdr:graphicFrame macro="">
      <xdr:nvGraphicFramePr>
        <xdr:cNvPr id="2" name="Chart 1">
          <a:extLst>
            <a:ext uri="{FF2B5EF4-FFF2-40B4-BE49-F238E27FC236}">
              <a16:creationId xmlns:a16="http://schemas.microsoft.com/office/drawing/2014/main" id="{D381D946-BABA-7826-E5DE-A6D3E3A0500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75077" cy="6291385"/>
    <xdr:graphicFrame macro="">
      <xdr:nvGraphicFramePr>
        <xdr:cNvPr id="2" name="Chart 1">
          <a:extLst>
            <a:ext uri="{FF2B5EF4-FFF2-40B4-BE49-F238E27FC236}">
              <a16:creationId xmlns:a16="http://schemas.microsoft.com/office/drawing/2014/main" id="{1B270869-1B3E-EBAF-F2A1-76888F4231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L100" totalsRowShown="0" headerRowDxfId="26" headerRowBorderDxfId="25" tableBorderDxfId="24">
  <autoFilter ref="A2:L100" xr:uid="{00000000-0009-0000-0100-000001000000}"/>
  <tableColumns count="12">
    <tableColumn id="1" xr3:uid="{00000000-0010-0000-0000-000001000000}" name="Year" dataDxfId="23" totalsRowDxfId="22"/>
    <tableColumn id="2" xr3:uid="{00000000-0010-0000-0000-000002000000}" name="S&amp;P 500 (includes dividends)" dataDxfId="21" totalsRowDxfId="20"/>
    <tableColumn id="22" xr3:uid="{CD817966-E026-4E49-B610-AC0629513EF7}" name="US Small cap (bottom decile)" dataDxfId="19" totalsRowDxfId="18">
      <calculatedColumnFormula>'Small Cap'!B2</calculatedColumnFormula>
    </tableColumn>
    <tableColumn id="3" xr3:uid="{00000000-0010-0000-0000-000003000000}" name="3-month T.Bill" dataDxfId="17" totalsRowDxfId="16"/>
    <tableColumn id="4" xr3:uid="{00000000-0010-0000-0000-000004000000}" name="US T. Bond (10-year)" dataDxfId="15" totalsRowDxfId="14"/>
    <tableColumn id="16" xr3:uid="{00000000-0010-0000-0000-000010000000}" name=" Baa Corporate Bond" dataDxfId="13" totalsRowDxfId="12">
      <calculatedColumnFormula>'S&amp;P 500 &amp; Raw Data'!J4</calculatedColumnFormula>
    </tableColumn>
    <tableColumn id="15" xr3:uid="{00000000-0010-0000-0000-00000F000000}" name="Real Estate" dataDxfId="11" totalsRowDxfId="10">
      <calculatedColumnFormula>'Home Prices'!B4/'Home Prices'!B3-1</calculatedColumnFormula>
    </tableColumn>
    <tableColumn id="24" xr3:uid="{00000000-0010-0000-0000-000018000000}" name="Gold*" dataDxfId="9" totalsRowDxfId="8"/>
    <tableColumn id="8" xr3:uid="{00000000-0010-0000-0000-000008000000}" name="Stocks - Bills" dataDxfId="7" totalsRowDxfId="6"/>
    <tableColumn id="9" xr3:uid="{00000000-0010-0000-0000-000009000000}" name="Stocks - Bonds" dataDxfId="5" totalsRowDxfId="4"/>
    <tableColumn id="28" xr3:uid="{74E5D158-884E-184D-BAD4-EF8041EC0706}" name="Small Cap Premium (S&amp;P 500 minus Bottom Decile)" dataDxfId="3" totalsRowDxfId="2">
      <calculatedColumnFormula>Table1[[#This Row],[US Small cap (bottom decile)]]-Table1[[#This Row],[S&amp;P 500 (includes dividends)]]</calculatedColumnFormula>
    </tableColumn>
    <tableColumn id="18" xr3:uid="{00000000-0010-0000-0000-000012000000}" name="Stocks - Baa Corp Bond" dataDxfId="1" totalsRowDxfId="0">
      <calculatedColumnFormula>B3-F3</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hyperlink" Target="https://fred.stlouisfed.org/series/CSUSHPINSA" TargetMode="External"/><Relationship Id="rId1" Type="http://schemas.openxmlformats.org/officeDocument/2006/relationships/hyperlink" Target="http://www.econ.yale.edu/~shiller/data.ht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opLeftCell="A15" zoomScale="125" workbookViewId="0">
      <selection activeCell="B19" sqref="B19"/>
    </sheetView>
  </sheetViews>
  <sheetFormatPr defaultColWidth="11.07421875" defaultRowHeight="13.9"/>
  <cols>
    <col min="1" max="1" width="26.69140625" customWidth="1"/>
    <col min="2" max="2" width="84.84375" customWidth="1"/>
  </cols>
  <sheetData>
    <row r="1" spans="1:2" ht="76.900000000000006" thickBot="1">
      <c r="A1" s="54" t="s">
        <v>48</v>
      </c>
      <c r="B1" s="55" t="s">
        <v>47</v>
      </c>
    </row>
    <row r="2" spans="1:2" ht="16.149999999999999">
      <c r="A2" s="45"/>
      <c r="B2" s="45"/>
    </row>
    <row r="3" spans="1:2" ht="19.5">
      <c r="A3" s="131" t="s">
        <v>49</v>
      </c>
      <c r="B3" s="131"/>
    </row>
    <row r="4" spans="1:2" ht="129">
      <c r="A4" s="46" t="s">
        <v>50</v>
      </c>
      <c r="B4" s="47" t="s">
        <v>80</v>
      </c>
    </row>
    <row r="5" spans="1:2" ht="48.4">
      <c r="A5" s="46" t="s">
        <v>125</v>
      </c>
      <c r="B5" s="47" t="s">
        <v>131</v>
      </c>
    </row>
    <row r="6" spans="1:2" ht="177.4">
      <c r="A6" s="48" t="s">
        <v>51</v>
      </c>
      <c r="B6" s="47" t="s">
        <v>52</v>
      </c>
    </row>
    <row r="7" spans="1:2" ht="80.650000000000006">
      <c r="A7" s="48" t="s">
        <v>53</v>
      </c>
      <c r="B7" s="47" t="s">
        <v>89</v>
      </c>
    </row>
    <row r="8" spans="1:2" ht="48.4">
      <c r="A8" s="46" t="s">
        <v>75</v>
      </c>
      <c r="B8" s="47" t="s">
        <v>76</v>
      </c>
    </row>
    <row r="9" spans="1:2" ht="96.75">
      <c r="A9" s="46" t="s">
        <v>77</v>
      </c>
      <c r="B9" s="47" t="s">
        <v>127</v>
      </c>
    </row>
    <row r="10" spans="1:2" ht="16.149999999999999">
      <c r="A10" s="46" t="s">
        <v>81</v>
      </c>
      <c r="B10" s="47" t="s">
        <v>83</v>
      </c>
    </row>
    <row r="11" spans="1:2" ht="48.4">
      <c r="A11" s="48" t="s">
        <v>24</v>
      </c>
      <c r="B11" s="49" t="s">
        <v>129</v>
      </c>
    </row>
    <row r="12" spans="1:2" ht="48.4">
      <c r="A12" s="48" t="s">
        <v>56</v>
      </c>
      <c r="B12" s="49" t="s">
        <v>57</v>
      </c>
    </row>
    <row r="13" spans="1:2" ht="16.149999999999999">
      <c r="A13" s="48" t="s">
        <v>58</v>
      </c>
      <c r="B13" s="50" t="s">
        <v>60</v>
      </c>
    </row>
    <row r="14" spans="1:2" ht="80.650000000000006">
      <c r="A14" s="51" t="s">
        <v>59</v>
      </c>
      <c r="B14" s="49" t="s">
        <v>62</v>
      </c>
    </row>
    <row r="15" spans="1:2" ht="48.4">
      <c r="A15" s="48" t="s">
        <v>6</v>
      </c>
      <c r="B15" s="49" t="s">
        <v>61</v>
      </c>
    </row>
    <row r="16" spans="1:2" ht="16.149999999999999">
      <c r="A16" s="45"/>
      <c r="B16" s="45"/>
    </row>
    <row r="17" spans="1:2" ht="16.05" customHeight="1">
      <c r="A17" s="132" t="s">
        <v>63</v>
      </c>
      <c r="B17" s="132"/>
    </row>
    <row r="18" spans="1:2" ht="32.25">
      <c r="A18" s="52" t="s">
        <v>64</v>
      </c>
      <c r="B18" s="49" t="s">
        <v>65</v>
      </c>
    </row>
    <row r="19" spans="1:2" ht="96.75">
      <c r="A19" s="46" t="s">
        <v>66</v>
      </c>
      <c r="B19" s="49" t="s">
        <v>67</v>
      </c>
    </row>
    <row r="20" spans="1:2" ht="112.9">
      <c r="A20" s="53" t="s">
        <v>68</v>
      </c>
      <c r="B20" s="47" t="s">
        <v>69</v>
      </c>
    </row>
    <row r="21" spans="1:2" ht="16.149999999999999">
      <c r="A21" s="45"/>
      <c r="B21" s="45"/>
    </row>
    <row r="22" spans="1:2" ht="16.149999999999999">
      <c r="A22" s="45"/>
      <c r="B22" s="45"/>
    </row>
    <row r="23" spans="1:2" ht="16.149999999999999">
      <c r="A23" s="45"/>
      <c r="B23" s="45"/>
    </row>
    <row r="24" spans="1:2" ht="16.149999999999999">
      <c r="A24" s="45"/>
      <c r="B24" s="45"/>
    </row>
    <row r="25" spans="1:2" ht="16.149999999999999">
      <c r="A25" s="45"/>
      <c r="B25" s="45"/>
    </row>
    <row r="26" spans="1:2" ht="16.149999999999999">
      <c r="A26" s="45"/>
      <c r="B26" s="45"/>
    </row>
    <row r="27" spans="1:2" ht="16.149999999999999">
      <c r="A27" s="45"/>
      <c r="B27" s="45"/>
    </row>
    <row r="28" spans="1:2" ht="16.149999999999999">
      <c r="A28" s="45"/>
      <c r="B28" s="45"/>
    </row>
  </sheetData>
  <mergeCells count="2">
    <mergeCell ref="A3:B3"/>
    <mergeCell ref="A17:B17"/>
  </mergeCells>
  <phoneticPr fontId="4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
  <sheetViews>
    <sheetView tabSelected="1" zoomScale="72" workbookViewId="0">
      <selection activeCell="B105" sqref="B105"/>
    </sheetView>
  </sheetViews>
  <sheetFormatPr defaultColWidth="10.69140625" defaultRowHeight="15.4"/>
  <cols>
    <col min="1" max="1" width="15.53515625" style="5" bestFit="1" customWidth="1"/>
    <col min="2" max="3" width="8.53515625" style="5" customWidth="1"/>
    <col min="4" max="4" width="12.3828125" style="5" customWidth="1"/>
    <col min="5" max="5" width="13.69140625" style="5" customWidth="1"/>
    <col min="6" max="8" width="12.84375" style="5" customWidth="1"/>
    <col min="9" max="9" width="12.84375" style="3" customWidth="1"/>
    <col min="10" max="11" width="13.84375" style="3" customWidth="1"/>
    <col min="12" max="12" width="10.765625" style="3" bestFit="1" customWidth="1"/>
    <col min="13" max="16384" width="10.69140625" style="5"/>
  </cols>
  <sheetData>
    <row r="1" spans="1:12">
      <c r="A1" s="122"/>
      <c r="B1" s="135" t="s">
        <v>4</v>
      </c>
      <c r="C1" s="135"/>
      <c r="D1" s="135"/>
      <c r="E1" s="135"/>
      <c r="F1" s="135"/>
      <c r="G1" s="135"/>
      <c r="H1" s="135"/>
      <c r="I1" s="133" t="s">
        <v>33</v>
      </c>
      <c r="J1" s="134"/>
      <c r="K1" s="134"/>
      <c r="L1" s="134"/>
    </row>
    <row r="2" spans="1:12" s="30" customFormat="1" ht="96.75">
      <c r="A2" s="123" t="s">
        <v>5</v>
      </c>
      <c r="B2" s="124" t="s">
        <v>23</v>
      </c>
      <c r="C2" s="124" t="s">
        <v>123</v>
      </c>
      <c r="D2" s="124" t="s">
        <v>21</v>
      </c>
      <c r="E2" s="124" t="s">
        <v>94</v>
      </c>
      <c r="F2" s="124" t="s">
        <v>35</v>
      </c>
      <c r="G2" s="124" t="s">
        <v>77</v>
      </c>
      <c r="H2" s="124" t="s">
        <v>85</v>
      </c>
      <c r="I2" s="29" t="s">
        <v>124</v>
      </c>
      <c r="J2" s="29" t="s">
        <v>12</v>
      </c>
      <c r="K2" s="24" t="s">
        <v>128</v>
      </c>
      <c r="L2" s="24" t="s">
        <v>30</v>
      </c>
    </row>
    <row r="3" spans="1:12" ht="16.149999999999999">
      <c r="A3" s="125">
        <v>1928</v>
      </c>
      <c r="B3" s="126">
        <f>('S&amp;P 500 &amp; Raw Data'!B4-'S&amp;P 500 &amp; Raw Data'!B3+'S&amp;P 500 &amp; Raw Data'!C4)/'S&amp;P 500 &amp; Raw Data'!B3</f>
        <v>0.43811155152887893</v>
      </c>
      <c r="C3" s="126">
        <f>'Small Cap'!B2</f>
        <v>0.62149999999999994</v>
      </c>
      <c r="D3" s="126">
        <v>3.0800000000000001E-2</v>
      </c>
      <c r="E3" s="126">
        <f>'S&amp;P 500 &amp; Raw Data'!F4</f>
        <v>8.354708589799302E-3</v>
      </c>
      <c r="F3" s="126">
        <f>'S&amp;P 500 &amp; Raw Data'!J4</f>
        <v>3.2195514702324381E-2</v>
      </c>
      <c r="G3" s="126">
        <f>'Home Prices'!B4/'Home Prices'!B3-1</f>
        <v>1.491053677932408E-2</v>
      </c>
      <c r="H3" s="126">
        <f>'Gold Prices'!B3/'Gold Prices'!B2-1</f>
        <v>9.6899224806201723E-4</v>
      </c>
      <c r="I3" s="19">
        <f>B3-D3</f>
        <v>0.40731155152887893</v>
      </c>
      <c r="J3" s="19">
        <f>B3-E3</f>
        <v>0.42975684293907962</v>
      </c>
      <c r="K3" s="23">
        <f>Table1[[#This Row],[US Small cap (bottom decile)]]-Table1[[#This Row],[S&amp;P 500 (includes dividends)]]</f>
        <v>0.18338844847112101</v>
      </c>
      <c r="L3" s="23">
        <f>B3-F3</f>
        <v>0.40591603682655453</v>
      </c>
    </row>
    <row r="4" spans="1:12" ht="16.149999999999999">
      <c r="A4" s="125">
        <v>1929</v>
      </c>
      <c r="B4" s="126">
        <f>('S&amp;P 500 &amp; Raw Data'!B5-'S&amp;P 500 &amp; Raw Data'!B4+'S&amp;P 500 &amp; Raw Data'!C5)/'S&amp;P 500 &amp; Raw Data'!B4</f>
        <v>-8.2979466119096595E-2</v>
      </c>
      <c r="C4" s="126">
        <f>'Small Cap'!B3</f>
        <v>-0.46079999999999999</v>
      </c>
      <c r="D4" s="126">
        <v>3.1600000000000003E-2</v>
      </c>
      <c r="E4" s="126">
        <f>'S&amp;P 500 &amp; Raw Data'!F5</f>
        <v>4.2038041563204259E-2</v>
      </c>
      <c r="F4" s="126">
        <f>'S&amp;P 500 &amp; Raw Data'!J5</f>
        <v>3.0178562399040432E-2</v>
      </c>
      <c r="G4" s="126">
        <f>'Home Prices'!B5/'Home Prices'!B4-1</f>
        <v>-2.0568070519098924E-2</v>
      </c>
      <c r="H4" s="126">
        <f>'Gold Prices'!B4/'Gold Prices'!B3-1</f>
        <v>-1.4520813165538327E-3</v>
      </c>
      <c r="I4" s="19">
        <f>B4-D4</f>
        <v>-0.1145794661190966</v>
      </c>
      <c r="J4" s="19">
        <f>B4-E4</f>
        <v>-0.12501750768230085</v>
      </c>
      <c r="K4" s="23">
        <f>Table1[[#This Row],[US Small cap (bottom decile)]]-Table1[[#This Row],[S&amp;P 500 (includes dividends)]]</f>
        <v>-0.37782053388090342</v>
      </c>
      <c r="L4" s="23">
        <f>B4-F4</f>
        <v>-0.11315802851813703</v>
      </c>
    </row>
    <row r="5" spans="1:12" ht="16.149999999999999">
      <c r="A5" s="125">
        <v>1930</v>
      </c>
      <c r="B5" s="126">
        <f>('S&amp;P 500 &amp; Raw Data'!B6-'S&amp;P 500 &amp; Raw Data'!B5+'S&amp;P 500 &amp; Raw Data'!C6)/'S&amp;P 500 &amp; Raw Data'!B5</f>
        <v>-0.25123636363636365</v>
      </c>
      <c r="C5" s="126">
        <f>'Small Cap'!B4</f>
        <v>-0.48350000000000004</v>
      </c>
      <c r="D5" s="126">
        <v>4.5499999999999999E-2</v>
      </c>
      <c r="E5" s="126">
        <f>'S&amp;P 500 &amp; Raw Data'!F6</f>
        <v>4.5409314348970366E-2</v>
      </c>
      <c r="F5" s="126">
        <f>'S&amp;P 500 &amp; Raw Data'!J6</f>
        <v>5.3978094648238287E-3</v>
      </c>
      <c r="G5" s="126">
        <f>'Home Prices'!B6/'Home Prices'!B5-1</f>
        <v>-4.2999999999999927E-2</v>
      </c>
      <c r="H5" s="126">
        <f>'Gold Prices'!B5/'Gold Prices'!B4-1</f>
        <v>9.6946194861846635E-4</v>
      </c>
      <c r="I5" s="19">
        <f>B5-D5</f>
        <v>-0.29673636363636363</v>
      </c>
      <c r="J5" s="19">
        <f>B5-E5</f>
        <v>-0.29664567798533403</v>
      </c>
      <c r="K5" s="23">
        <f>Table1[[#This Row],[US Small cap (bottom decile)]]-Table1[[#This Row],[S&amp;P 500 (includes dividends)]]</f>
        <v>-0.23226363636363639</v>
      </c>
      <c r="L5" s="23">
        <f>B5-F5</f>
        <v>-0.25663417310118747</v>
      </c>
    </row>
    <row r="6" spans="1:12" ht="16.149999999999999">
      <c r="A6" s="125">
        <v>1931</v>
      </c>
      <c r="B6" s="126">
        <f>('S&amp;P 500 &amp; Raw Data'!B7-'S&amp;P 500 &amp; Raw Data'!B6+'S&amp;P 500 &amp; Raw Data'!C7)/'S&amp;P 500 &amp; Raw Data'!B6</f>
        <v>-0.43837548891786188</v>
      </c>
      <c r="C6" s="126">
        <f>'Small Cap'!B5</f>
        <v>-0.43619999999999998</v>
      </c>
      <c r="D6" s="126">
        <v>2.3099999999999999E-2</v>
      </c>
      <c r="E6" s="126">
        <f>'S&amp;P 500 &amp; Raw Data'!F7</f>
        <v>-2.5588559619422531E-2</v>
      </c>
      <c r="F6" s="126">
        <f>'S&amp;P 500 &amp; Raw Data'!J7</f>
        <v>-0.15680775082667592</v>
      </c>
      <c r="G6" s="126">
        <f>'Home Prices'!B7/'Home Prices'!B6-1</f>
        <v>-8.1504702194357348E-2</v>
      </c>
      <c r="H6" s="126">
        <f>'Gold Prices'!B6/'Gold Prices'!B5-1</f>
        <v>-0.17384987893462467</v>
      </c>
      <c r="I6" s="19">
        <f>B6-D6</f>
        <v>-0.46147548891786189</v>
      </c>
      <c r="J6" s="19">
        <f>B6-E6</f>
        <v>-0.41278692929843935</v>
      </c>
      <c r="K6" s="23">
        <f>Table1[[#This Row],[US Small cap (bottom decile)]]-Table1[[#This Row],[S&amp;P 500 (includes dividends)]]</f>
        <v>2.1754889178619008E-3</v>
      </c>
      <c r="L6" s="23">
        <f>B6-F6</f>
        <v>-0.28156773809118596</v>
      </c>
    </row>
    <row r="7" spans="1:12" ht="16.149999999999999">
      <c r="A7" s="125">
        <v>1932</v>
      </c>
      <c r="B7" s="126">
        <f>('S&amp;P 500 &amp; Raw Data'!B8-'S&amp;P 500 &amp; Raw Data'!B7+'S&amp;P 500 &amp; Raw Data'!C8)/'S&amp;P 500 &amp; Raw Data'!B7</f>
        <v>-8.642364532019696E-2</v>
      </c>
      <c r="C7" s="126">
        <f>'Small Cap'!B6</f>
        <v>0.28649999999999998</v>
      </c>
      <c r="D7" s="126">
        <v>1.0699999999999999E-2</v>
      </c>
      <c r="E7" s="126">
        <f>'S&amp;P 500 &amp; Raw Data'!F8</f>
        <v>8.7903069904773257E-2</v>
      </c>
      <c r="F7" s="126">
        <f>'S&amp;P 500 &amp; Raw Data'!J8</f>
        <v>0.23589601675740196</v>
      </c>
      <c r="G7" s="126">
        <f>'Home Prices'!B8/'Home Prices'!B7-1</f>
        <v>-0.10466439135381123</v>
      </c>
      <c r="H7" s="126">
        <f>'Gold Prices'!B7/'Gold Prices'!B6-1</f>
        <v>0.21277842907385724</v>
      </c>
      <c r="I7" s="19">
        <f>B7-D7</f>
        <v>-9.7123645320196961E-2</v>
      </c>
      <c r="J7" s="19">
        <f>B7-E7</f>
        <v>-0.17432671522497023</v>
      </c>
      <c r="K7" s="23">
        <f>Table1[[#This Row],[US Small cap (bottom decile)]]-Table1[[#This Row],[S&amp;P 500 (includes dividends)]]</f>
        <v>0.37292364532019695</v>
      </c>
      <c r="L7" s="23">
        <f>B7-F7</f>
        <v>-0.32231966207759893</v>
      </c>
    </row>
    <row r="8" spans="1:12" ht="16.149999999999999">
      <c r="A8" s="125">
        <v>1933</v>
      </c>
      <c r="B8" s="126">
        <f>('S&amp;P 500 &amp; Raw Data'!B9-'S&amp;P 500 &amp; Raw Data'!B8+'S&amp;P 500 &amp; Raw Data'!C9)/'S&amp;P 500 &amp; Raw Data'!B8</f>
        <v>0.49982225433526023</v>
      </c>
      <c r="C8" s="126">
        <f>'Small Cap'!B7</f>
        <v>1.466</v>
      </c>
      <c r="D8" s="126">
        <v>9.5999999999999992E-3</v>
      </c>
      <c r="E8" s="126">
        <f>'S&amp;P 500 &amp; Raw Data'!F9</f>
        <v>1.8552720891857361E-2</v>
      </c>
      <c r="F8" s="126">
        <f>'S&amp;P 500 &amp; Raw Data'!J9</f>
        <v>0.1296689369754826</v>
      </c>
      <c r="G8" s="126">
        <f>'Home Prices'!B9/'Home Prices'!B8-1</f>
        <v>-3.811944091486652E-2</v>
      </c>
      <c r="H8" s="126">
        <f>'Gold Prices'!B8/'Gold Prices'!B7-1</f>
        <v>0.27259545674238739</v>
      </c>
      <c r="I8" s="19">
        <f>B8-D8</f>
        <v>0.49022225433526023</v>
      </c>
      <c r="J8" s="19">
        <f>B8-E8</f>
        <v>0.48126953344340284</v>
      </c>
      <c r="K8" s="23">
        <f>Table1[[#This Row],[US Small cap (bottom decile)]]-Table1[[#This Row],[S&amp;P 500 (includes dividends)]]</f>
        <v>0.9661777456647398</v>
      </c>
      <c r="L8" s="23">
        <f>B8-F8</f>
        <v>0.37015331735977763</v>
      </c>
    </row>
    <row r="9" spans="1:12" ht="16.149999999999999">
      <c r="A9" s="125">
        <v>1934</v>
      </c>
      <c r="B9" s="126">
        <f>('S&amp;P 500 &amp; Raw Data'!B10-'S&amp;P 500 &amp; Raw Data'!B9+'S&amp;P 500 &amp; Raw Data'!C10)/'S&amp;P 500 &amp; Raw Data'!B9</f>
        <v>-1.1885656970912803E-2</v>
      </c>
      <c r="C9" s="126">
        <f>'Small Cap'!B8</f>
        <v>0.23070000000000002</v>
      </c>
      <c r="D9" s="126">
        <f>'T. Bill rates'!C12</f>
        <v>2.7833333333333334E-3</v>
      </c>
      <c r="E9" s="126">
        <f>'S&amp;P 500 &amp; Raw Data'!F10</f>
        <v>7.9634426179656104E-2</v>
      </c>
      <c r="F9" s="126">
        <f>'S&amp;P 500 &amp; Raw Data'!J10</f>
        <v>0.18816429268482648</v>
      </c>
      <c r="G9" s="126">
        <f>'Home Prices'!B10/'Home Prices'!B9-1</f>
        <v>2.9062087186261465E-2</v>
      </c>
      <c r="H9" s="126">
        <f>'Gold Prices'!B9/'Gold Prices'!B8-1</f>
        <v>0.31750854538549178</v>
      </c>
      <c r="I9" s="19">
        <f>B9-D9</f>
        <v>-1.4668990304246137E-2</v>
      </c>
      <c r="J9" s="19">
        <f>B9-E9</f>
        <v>-9.1520083150568907E-2</v>
      </c>
      <c r="K9" s="23">
        <f>Table1[[#This Row],[US Small cap (bottom decile)]]-Table1[[#This Row],[S&amp;P 500 (includes dividends)]]</f>
        <v>0.24258565697091283</v>
      </c>
      <c r="L9" s="23">
        <f>B9-F9</f>
        <v>-0.2000499496557393</v>
      </c>
    </row>
    <row r="10" spans="1:12" ht="16.149999999999999">
      <c r="A10" s="125">
        <v>1935</v>
      </c>
      <c r="B10" s="126">
        <f>('S&amp;P 500 &amp; Raw Data'!B11-'S&amp;P 500 &amp; Raw Data'!B10+'S&amp;P 500 &amp; Raw Data'!C11)/'S&amp;P 500 &amp; Raw Data'!B10</f>
        <v>0.46740421052631581</v>
      </c>
      <c r="C10" s="126">
        <f>'Small Cap'!B9</f>
        <v>0.54899999999999993</v>
      </c>
      <c r="D10" s="126">
        <f>'T. Bill rates'!C13</f>
        <v>1.6750000000000001E-3</v>
      </c>
      <c r="E10" s="126">
        <f>'S&amp;P 500 &amp; Raw Data'!F11</f>
        <v>4.4720477296566127E-2</v>
      </c>
      <c r="F10" s="126">
        <f>'S&amp;P 500 &amp; Raw Data'!J11</f>
        <v>0.1330773186567917</v>
      </c>
      <c r="G10" s="126">
        <f>'Home Prices'!B11/'Home Prices'!B10-1</f>
        <v>9.7658337262297445E-2</v>
      </c>
      <c r="H10" s="126">
        <f>'Gold Prices'!B10/'Gold Prices'!B9-1</f>
        <v>4.3240126837706949E-3</v>
      </c>
      <c r="I10" s="19">
        <f>B10-D10</f>
        <v>0.46572921052631583</v>
      </c>
      <c r="J10" s="19">
        <f>B10-E10</f>
        <v>0.42268373322974967</v>
      </c>
      <c r="K10" s="23">
        <f>Table1[[#This Row],[US Small cap (bottom decile)]]-Table1[[#This Row],[S&amp;P 500 (includes dividends)]]</f>
        <v>8.1595789473684122E-2</v>
      </c>
      <c r="L10" s="23">
        <f>B10-F10</f>
        <v>0.33432689186952413</v>
      </c>
    </row>
    <row r="11" spans="1:12" ht="16.149999999999999">
      <c r="A11" s="125">
        <v>1936</v>
      </c>
      <c r="B11" s="126">
        <f>('S&amp;P 500 &amp; Raw Data'!B12-'S&amp;P 500 &amp; Raw Data'!B11+'S&amp;P 500 &amp; Raw Data'!C12)/'S&amp;P 500 &amp; Raw Data'!B11</f>
        <v>0.31943410275502609</v>
      </c>
      <c r="C11" s="126">
        <f>'Small Cap'!B10</f>
        <v>0.96409999999999996</v>
      </c>
      <c r="D11" s="126">
        <f>'T. Bill rates'!C14</f>
        <v>1.725E-3</v>
      </c>
      <c r="E11" s="126">
        <f>'S&amp;P 500 &amp; Raw Data'!F12</f>
        <v>5.0178754045450601E-2</v>
      </c>
      <c r="F11" s="126">
        <f>'S&amp;P 500 &amp; Raw Data'!J12</f>
        <v>0.11383815871922703</v>
      </c>
      <c r="G11" s="126">
        <f>'Home Prices'!B12/'Home Prices'!B11-1</f>
        <v>3.2186014546704111E-2</v>
      </c>
      <c r="H11" s="126">
        <f>'Gold Prices'!B11/'Gold Prices'!B10-1</f>
        <v>8.61079219288019E-4</v>
      </c>
      <c r="I11" s="19">
        <f>B11-D11</f>
        <v>0.31770910275502612</v>
      </c>
      <c r="J11" s="19">
        <f>B11-E11</f>
        <v>0.26925534870957551</v>
      </c>
      <c r="K11" s="23">
        <f>Table1[[#This Row],[US Small cap (bottom decile)]]-Table1[[#This Row],[S&amp;P 500 (includes dividends)]]</f>
        <v>0.64466589724497392</v>
      </c>
      <c r="L11" s="23">
        <f>B11-F11</f>
        <v>0.20559594403579906</v>
      </c>
    </row>
    <row r="12" spans="1:12" ht="16.149999999999999">
      <c r="A12" s="125">
        <v>1937</v>
      </c>
      <c r="B12" s="126">
        <f>('S&amp;P 500 &amp; Raw Data'!B13-'S&amp;P 500 &amp; Raw Data'!B12+'S&amp;P 500 &amp; Raw Data'!C13)/'S&amp;P 500 &amp; Raw Data'!B12</f>
        <v>-0.35336728754365537</v>
      </c>
      <c r="C12" s="126">
        <f>'Small Cap'!B11</f>
        <v>-0.53939999999999999</v>
      </c>
      <c r="D12" s="126">
        <f>'T. Bill rates'!C15</f>
        <v>2.7583333333333331E-3</v>
      </c>
      <c r="E12" s="126">
        <f>'S&amp;P 500 &amp; Raw Data'!F13</f>
        <v>1.379146059646038E-2</v>
      </c>
      <c r="F12" s="126">
        <f>'S&amp;P 500 &amp; Raw Data'!J13</f>
        <v>-4.4161916839982614E-2</v>
      </c>
      <c r="G12" s="126">
        <f>'Home Prices'!B13/'Home Prices'!B12-1</f>
        <v>2.5633912223270494E-2</v>
      </c>
      <c r="H12" s="126">
        <f>'Gold Prices'!B12/'Gold Prices'!B11-1</f>
        <v>-2.2942357327214724E-3</v>
      </c>
      <c r="I12" s="19">
        <f>B12-D12</f>
        <v>-0.35612562087698868</v>
      </c>
      <c r="J12" s="19">
        <f>B12-E12</f>
        <v>-0.36715874814011573</v>
      </c>
      <c r="K12" s="23">
        <f>Table1[[#This Row],[US Small cap (bottom decile)]]-Table1[[#This Row],[S&amp;P 500 (includes dividends)]]</f>
        <v>-0.18603271245634462</v>
      </c>
      <c r="L12" s="23">
        <f>B12-F12</f>
        <v>-0.30920537070367277</v>
      </c>
    </row>
    <row r="13" spans="1:12" ht="16.149999999999999">
      <c r="A13" s="125">
        <v>1938</v>
      </c>
      <c r="B13" s="126">
        <f>('S&amp;P 500 &amp; Raw Data'!B14-'S&amp;P 500 &amp; Raw Data'!B13+'S&amp;P 500 &amp; Raw Data'!C14)/'S&amp;P 500 &amp; Raw Data'!B13</f>
        <v>0.29282654028436017</v>
      </c>
      <c r="C13" s="126">
        <f>'Small Cap'!B12</f>
        <v>5.16E-2</v>
      </c>
      <c r="D13" s="126">
        <f>'T. Bill rates'!C16</f>
        <v>6.4999999999999997E-4</v>
      </c>
      <c r="E13" s="126">
        <f>'S&amp;P 500 &amp; Raw Data'!F14</f>
        <v>4.2132485322046068E-2</v>
      </c>
      <c r="F13" s="126">
        <f>'S&amp;P 500 &amp; Raw Data'!J14</f>
        <v>9.2358817136874202E-2</v>
      </c>
      <c r="G13" s="126">
        <f>'Home Prices'!B14/'Home Prices'!B13-1</f>
        <v>-8.7368136326751999E-3</v>
      </c>
      <c r="H13" s="126">
        <f>'Gold Prices'!B13/'Gold Prices'!B12-1</f>
        <v>1.7246335153779935E-3</v>
      </c>
      <c r="I13" s="19">
        <f>B13-D13</f>
        <v>0.29217654028436019</v>
      </c>
      <c r="J13" s="19">
        <f>B13-E13</f>
        <v>0.25069405496231412</v>
      </c>
      <c r="K13" s="23">
        <f>Table1[[#This Row],[US Small cap (bottom decile)]]-Table1[[#This Row],[S&amp;P 500 (includes dividends)]]</f>
        <v>-0.24122654028436016</v>
      </c>
      <c r="L13" s="23">
        <f>B13-F13</f>
        <v>0.20046772314748595</v>
      </c>
    </row>
    <row r="14" spans="1:12" ht="16.149999999999999">
      <c r="A14" s="125">
        <v>1939</v>
      </c>
      <c r="B14" s="126">
        <f>('S&amp;P 500 &amp; Raw Data'!B15-'S&amp;P 500 &amp; Raw Data'!B14+'S&amp;P 500 &amp; Raw Data'!C15)/'S&amp;P 500 &amp; Raw Data'!B14</f>
        <v>-1.0975646879756443E-2</v>
      </c>
      <c r="C14" s="126">
        <f>'Small Cap'!B13</f>
        <v>-4.8600000000000004E-2</v>
      </c>
      <c r="D14" s="126">
        <f>'T. Bill rates'!C17</f>
        <v>4.5833333333333332E-4</v>
      </c>
      <c r="E14" s="126">
        <f>'S&amp;P 500 &amp; Raw Data'!F15</f>
        <v>4.4122613942060671E-2</v>
      </c>
      <c r="F14" s="126">
        <f>'S&amp;P 500 &amp; Raw Data'!J15</f>
        <v>7.9831377653461405E-2</v>
      </c>
      <c r="G14" s="126">
        <f>'Home Prices'!B15/'Home Prices'!B14-1</f>
        <v>-1.3016072256937905E-2</v>
      </c>
      <c r="H14" s="126">
        <f>'Gold Prices'!B14/'Gold Prices'!B13-1</f>
        <v>-1.2338593974175027E-2</v>
      </c>
      <c r="I14" s="19">
        <f>B14-D14</f>
        <v>-1.1433980213089777E-2</v>
      </c>
      <c r="J14" s="19">
        <f>B14-E14</f>
        <v>-5.509826082181711E-2</v>
      </c>
      <c r="K14" s="23">
        <f>Table1[[#This Row],[US Small cap (bottom decile)]]-Table1[[#This Row],[S&amp;P 500 (includes dividends)]]</f>
        <v>-3.7624353120243564E-2</v>
      </c>
      <c r="L14" s="23">
        <f>B14-F14</f>
        <v>-9.0807024533217845E-2</v>
      </c>
    </row>
    <row r="15" spans="1:12" ht="16.149999999999999">
      <c r="A15" s="125">
        <v>1940</v>
      </c>
      <c r="B15" s="126">
        <f>('S&amp;P 500 &amp; Raw Data'!B16-'S&amp;P 500 &amp; Raw Data'!B15+'S&amp;P 500 &amp; Raw Data'!C16)/'S&amp;P 500 &amp; Raw Data'!B15</f>
        <v>-0.10672873194221515</v>
      </c>
      <c r="C15" s="126">
        <f>'Small Cap'!B14</f>
        <v>-0.32880000000000004</v>
      </c>
      <c r="D15" s="126">
        <f>'T. Bill rates'!C18</f>
        <v>3.5833333333333333E-4</v>
      </c>
      <c r="E15" s="126">
        <f>'S&amp;P 500 &amp; Raw Data'!F16</f>
        <v>5.4024815962845509E-2</v>
      </c>
      <c r="F15" s="126">
        <f>'S&amp;P 500 &amp; Raw Data'!J16</f>
        <v>8.6481371775829569E-2</v>
      </c>
      <c r="G15" s="126">
        <f>'Home Prices'!B16/'Home Prices'!B15-1</f>
        <v>3.306607685927565E-2</v>
      </c>
      <c r="H15" s="126">
        <f>'Gold Prices'!B15/'Gold Prices'!B14-1</f>
        <v>-1.6560139453805967E-2</v>
      </c>
      <c r="I15" s="19">
        <f>B15-D15</f>
        <v>-0.10708706527554848</v>
      </c>
      <c r="J15" s="19">
        <f>B15-E15</f>
        <v>-0.16075354790506066</v>
      </c>
      <c r="K15" s="23">
        <f>Table1[[#This Row],[US Small cap (bottom decile)]]-Table1[[#This Row],[S&amp;P 500 (includes dividends)]]</f>
        <v>-0.22207126805778488</v>
      </c>
      <c r="L15" s="23">
        <f>B15-F15</f>
        <v>-0.1932101037180447</v>
      </c>
    </row>
    <row r="16" spans="1:12" ht="16.149999999999999">
      <c r="A16" s="125">
        <v>1941</v>
      </c>
      <c r="B16" s="126">
        <f>('S&amp;P 500 &amp; Raw Data'!B17-'S&amp;P 500 &amp; Raw Data'!B16+'S&amp;P 500 &amp; Raw Data'!C17)/'S&amp;P 500 &amp; Raw Data'!B16</f>
        <v>-0.12771455576559551</v>
      </c>
      <c r="C16" s="126">
        <f>'Small Cap'!B15</f>
        <v>-6.7500000000000004E-2</v>
      </c>
      <c r="D16" s="126">
        <f>'T. Bill rates'!C19</f>
        <v>1.2916666666666669E-3</v>
      </c>
      <c r="E16" s="126">
        <f>'S&amp;P 500 &amp; Raw Data'!F17</f>
        <v>-2.0221975848580105E-2</v>
      </c>
      <c r="F16" s="126">
        <f>'S&amp;P 500 &amp; Raw Data'!J17</f>
        <v>5.0071728572759232E-2</v>
      </c>
      <c r="G16" s="126">
        <f>'Home Prices'!B17/'Home Prices'!B16-1</f>
        <v>-8.384627736444894E-2</v>
      </c>
      <c r="H16" s="126">
        <f>'Gold Prices'!B16/'Gold Prices'!B15-1</f>
        <v>0</v>
      </c>
      <c r="I16" s="19">
        <f>B16-D16</f>
        <v>-0.12900622243226217</v>
      </c>
      <c r="J16" s="19">
        <f>B16-E16</f>
        <v>-0.10749257991701541</v>
      </c>
      <c r="K16" s="23">
        <f>Table1[[#This Row],[US Small cap (bottom decile)]]-Table1[[#This Row],[S&amp;P 500 (includes dividends)]]</f>
        <v>6.0214555765595507E-2</v>
      </c>
      <c r="L16" s="23">
        <f>B16-F16</f>
        <v>-0.17778628433835475</v>
      </c>
    </row>
    <row r="17" spans="1:12" ht="16.149999999999999">
      <c r="A17" s="125">
        <v>1942</v>
      </c>
      <c r="B17" s="126">
        <f>('S&amp;P 500 &amp; Raw Data'!B18-'S&amp;P 500 &amp; Raw Data'!B17+'S&amp;P 500 &amp; Raw Data'!C18)/'S&amp;P 500 &amp; Raw Data'!B17</f>
        <v>0.19173762945914843</v>
      </c>
      <c r="C17" s="126">
        <f>'Small Cap'!B16</f>
        <v>0.63009999999999999</v>
      </c>
      <c r="D17" s="126">
        <f>'T. Bill rates'!C20</f>
        <v>3.4250000000000001E-3</v>
      </c>
      <c r="E17" s="126">
        <f>'S&amp;P 500 &amp; Raw Data'!F18</f>
        <v>2.2948682374484164E-2</v>
      </c>
      <c r="F17" s="126">
        <f>'S&amp;P 500 &amp; Raw Data'!J18</f>
        <v>5.1799010426587015E-2</v>
      </c>
      <c r="G17" s="126">
        <f>'Home Prices'!B18/'Home Prices'!B17-1</f>
        <v>3.3330412175386348E-2</v>
      </c>
      <c r="H17" s="126">
        <f>'Gold Prices'!B17/'Gold Prices'!B16-1</f>
        <v>0</v>
      </c>
      <c r="I17" s="19">
        <f>B17-D17</f>
        <v>0.18831262945914842</v>
      </c>
      <c r="J17" s="19">
        <f>B17-E17</f>
        <v>0.16878894708466427</v>
      </c>
      <c r="K17" s="23">
        <f>Table1[[#This Row],[US Small cap (bottom decile)]]-Table1[[#This Row],[S&amp;P 500 (includes dividends)]]</f>
        <v>0.43836237054085159</v>
      </c>
      <c r="L17" s="23">
        <f>B17-F17</f>
        <v>0.13993861903256141</v>
      </c>
    </row>
    <row r="18" spans="1:12" ht="16.149999999999999">
      <c r="A18" s="125">
        <v>1943</v>
      </c>
      <c r="B18" s="126">
        <f>('S&amp;P 500 &amp; Raw Data'!B19-'S&amp;P 500 &amp; Raw Data'!B18+'S&amp;P 500 &amp; Raw Data'!C19)/'S&amp;P 500 &amp; Raw Data'!B18</f>
        <v>0.25061310133060394</v>
      </c>
      <c r="C18" s="126">
        <f>'Small Cap'!B17</f>
        <v>1.4302000000000001</v>
      </c>
      <c r="D18" s="126">
        <f>'T. Bill rates'!C21</f>
        <v>3.8E-3</v>
      </c>
      <c r="E18" s="126">
        <f>'S&amp;P 500 &amp; Raw Data'!F19</f>
        <v>2.4899999999999999E-2</v>
      </c>
      <c r="F18" s="126">
        <f>'S&amp;P 500 &amp; Raw Data'!J19</f>
        <v>8.044670060105924E-2</v>
      </c>
      <c r="G18" s="126">
        <f>'Home Prices'!B19/'Home Prices'!B18-1</f>
        <v>0.11446259964945993</v>
      </c>
      <c r="H18" s="126">
        <f>'Gold Prices'!B18/'Gold Prices'!B17-1</f>
        <v>0</v>
      </c>
      <c r="I18" s="19">
        <f>B18-D18</f>
        <v>0.24681310133060394</v>
      </c>
      <c r="J18" s="19">
        <f>B18-E18</f>
        <v>0.22571310133060393</v>
      </c>
      <c r="K18" s="23">
        <f>Table1[[#This Row],[US Small cap (bottom decile)]]-Table1[[#This Row],[S&amp;P 500 (includes dividends)]]</f>
        <v>1.1795868986693963</v>
      </c>
      <c r="L18" s="23">
        <f>B18-F18</f>
        <v>0.1701664007295447</v>
      </c>
    </row>
    <row r="19" spans="1:12" ht="16.149999999999999">
      <c r="A19" s="125">
        <v>1944</v>
      </c>
      <c r="B19" s="126">
        <f>('S&amp;P 500 &amp; Raw Data'!B20-'S&amp;P 500 &amp; Raw Data'!B19+'S&amp;P 500 &amp; Raw Data'!C20)/'S&amp;P 500 &amp; Raw Data'!B19</f>
        <v>0.19030676949443009</v>
      </c>
      <c r="C19" s="126">
        <f>'Small Cap'!B18</f>
        <v>0.71150000000000002</v>
      </c>
      <c r="D19" s="126">
        <f>'T. Bill rates'!C22</f>
        <v>3.8E-3</v>
      </c>
      <c r="E19" s="126">
        <f>'S&amp;P 500 &amp; Raw Data'!F20</f>
        <v>2.5776111579070303E-2</v>
      </c>
      <c r="F19" s="126">
        <f>'S&amp;P 500 &amp; Raw Data'!J20</f>
        <v>6.5658635882561697E-2</v>
      </c>
      <c r="G19" s="126">
        <f>'Home Prices'!B20/'Home Prices'!B19-1</f>
        <v>0.16584227481419478</v>
      </c>
      <c r="H19" s="126">
        <f>'Gold Prices'!B19/'Gold Prices'!B18-1</f>
        <v>0</v>
      </c>
      <c r="I19" s="19">
        <f>B19-D19</f>
        <v>0.1865067694944301</v>
      </c>
      <c r="J19" s="19">
        <f>B19-E19</f>
        <v>0.16453065791535978</v>
      </c>
      <c r="K19" s="23">
        <f>Table1[[#This Row],[US Small cap (bottom decile)]]-Table1[[#This Row],[S&amp;P 500 (includes dividends)]]</f>
        <v>0.52119323050556998</v>
      </c>
      <c r="L19" s="23">
        <f>B19-F19</f>
        <v>0.1246481336118684</v>
      </c>
    </row>
    <row r="20" spans="1:12" ht="16.149999999999999">
      <c r="A20" s="125">
        <v>1945</v>
      </c>
      <c r="B20" s="126">
        <f>('S&amp;P 500 &amp; Raw Data'!B21-'S&amp;P 500 &amp; Raw Data'!B20+'S&amp;P 500 &amp; Raw Data'!C21)/'S&amp;P 500 &amp; Raw Data'!B20</f>
        <v>0.35821084337349401</v>
      </c>
      <c r="C20" s="126">
        <f>'Small Cap'!B19</f>
        <v>0.94409999999999994</v>
      </c>
      <c r="D20" s="126">
        <f>'T. Bill rates'!C23</f>
        <v>3.8E-3</v>
      </c>
      <c r="E20" s="126">
        <f>'S&amp;P 500 &amp; Raw Data'!F21</f>
        <v>3.8044173419237229E-2</v>
      </c>
      <c r="F20" s="126">
        <f>'S&amp;P 500 &amp; Raw Data'!J21</f>
        <v>6.799865477817886E-2</v>
      </c>
      <c r="G20" s="126">
        <f>'Home Prices'!B21/'Home Prices'!B20-1</f>
        <v>0.11777376471356127</v>
      </c>
      <c r="H20" s="126">
        <f>'Gold Prices'!B20/'Gold Prices'!B19-1</f>
        <v>2.5406203840472763E-2</v>
      </c>
      <c r="I20" s="19">
        <f>B20-D20</f>
        <v>0.35441084337349399</v>
      </c>
      <c r="J20" s="19">
        <f>B20-E20</f>
        <v>0.3201666699542568</v>
      </c>
      <c r="K20" s="23">
        <f>Table1[[#This Row],[US Small cap (bottom decile)]]-Table1[[#This Row],[S&amp;P 500 (includes dividends)]]</f>
        <v>0.58588915662650587</v>
      </c>
      <c r="L20" s="23">
        <f>B20-F20</f>
        <v>0.29021218859531517</v>
      </c>
    </row>
    <row r="21" spans="1:12" ht="16.149999999999999">
      <c r="A21" s="125">
        <v>1946</v>
      </c>
      <c r="B21" s="126">
        <f>('S&amp;P 500 &amp; Raw Data'!B22-'S&amp;P 500 &amp; Raw Data'!B21+'S&amp;P 500 &amp; Raw Data'!C22)/'S&amp;P 500 &amp; Raw Data'!B21</f>
        <v>-8.4291474654377807E-2</v>
      </c>
      <c r="C21" s="126">
        <f>'Small Cap'!B20</f>
        <v>-0.13730000000000001</v>
      </c>
      <c r="D21" s="126">
        <f>'T. Bill rates'!C24</f>
        <v>3.8E-3</v>
      </c>
      <c r="E21" s="126">
        <f>'S&amp;P 500 &amp; Raw Data'!F22</f>
        <v>3.1283745375695685E-2</v>
      </c>
      <c r="F21" s="126">
        <f>'S&amp;P 500 &amp; Raw Data'!J22</f>
        <v>2.5080329773195936E-2</v>
      </c>
      <c r="G21" s="126">
        <f>'Home Prices'!B22/'Home Prices'!B21-1</f>
        <v>0.24101685677580131</v>
      </c>
      <c r="H21" s="126">
        <f>'Gold Prices'!B21/'Gold Prices'!B20-1</f>
        <v>0</v>
      </c>
      <c r="I21" s="19">
        <f>B21-D21</f>
        <v>-8.8091474654377805E-2</v>
      </c>
      <c r="J21" s="19">
        <f>B21-E21</f>
        <v>-0.11557522003007349</v>
      </c>
      <c r="K21" s="23">
        <f>Table1[[#This Row],[US Small cap (bottom decile)]]-Table1[[#This Row],[S&amp;P 500 (includes dividends)]]</f>
        <v>-5.3008525345622198E-2</v>
      </c>
      <c r="L21" s="23">
        <f>B21-F21</f>
        <v>-0.10937180442757374</v>
      </c>
    </row>
    <row r="22" spans="1:12" ht="16.149999999999999">
      <c r="A22" s="125">
        <v>1947</v>
      </c>
      <c r="B22" s="126">
        <f>('S&amp;P 500 &amp; Raw Data'!B23-'S&amp;P 500 &amp; Raw Data'!B22+'S&amp;P 500 &amp; Raw Data'!C23)/'S&amp;P 500 &amp; Raw Data'!B22</f>
        <v>5.1999999999999998E-2</v>
      </c>
      <c r="C22" s="126">
        <f>'Small Cap'!B21</f>
        <v>-1.7399999999999999E-2</v>
      </c>
      <c r="D22" s="126">
        <f>'T. Bill rates'!C25</f>
        <v>6.0083333333333334E-3</v>
      </c>
      <c r="E22" s="126">
        <f>'S&amp;P 500 &amp; Raw Data'!F23</f>
        <v>9.1969680628322358E-3</v>
      </c>
      <c r="F22" s="126">
        <f>'S&amp;P 500 &amp; Raw Data'!J23</f>
        <v>2.6212022665691934E-3</v>
      </c>
      <c r="G22" s="126">
        <f>'Home Prices'!B23/'Home Prices'!B22-1</f>
        <v>0.2126388104648973</v>
      </c>
      <c r="H22" s="126">
        <f>'Gold Prices'!B22/'Gold Prices'!B21-1</f>
        <v>0</v>
      </c>
      <c r="I22" s="19">
        <f>B22-D22</f>
        <v>4.5991666666666667E-2</v>
      </c>
      <c r="J22" s="19">
        <f>B22-E22</f>
        <v>4.2803031937167765E-2</v>
      </c>
      <c r="K22" s="23">
        <f>Table1[[#This Row],[US Small cap (bottom decile)]]-Table1[[#This Row],[S&amp;P 500 (includes dividends)]]</f>
        <v>-6.9399999999999989E-2</v>
      </c>
      <c r="L22" s="23">
        <f>B22-F22</f>
        <v>4.9378797733430804E-2</v>
      </c>
    </row>
    <row r="23" spans="1:12" ht="16.149999999999999">
      <c r="A23" s="125">
        <v>1948</v>
      </c>
      <c r="B23" s="126">
        <f>('S&amp;P 500 &amp; Raw Data'!B24-'S&amp;P 500 &amp; Raw Data'!B23+'S&amp;P 500 &amp; Raw Data'!C24)/'S&amp;P 500 &amp; Raw Data'!B23</f>
        <v>5.7045751633986834E-2</v>
      </c>
      <c r="C23" s="126">
        <f>'Small Cap'!B22</f>
        <v>-1E-4</v>
      </c>
      <c r="D23" s="126">
        <f>'T. Bill rates'!C26</f>
        <v>1.0449999999999999E-2</v>
      </c>
      <c r="E23" s="126">
        <f>'S&amp;P 500 &amp; Raw Data'!F24</f>
        <v>1.9510369413175046E-2</v>
      </c>
      <c r="F23" s="126">
        <f>'S&amp;P 500 &amp; Raw Data'!J24</f>
        <v>3.4369595605103213E-2</v>
      </c>
      <c r="G23" s="126">
        <f>'Home Prices'!B24/'Home Prices'!B23-1</f>
        <v>2.0585153855108507E-2</v>
      </c>
      <c r="H23" s="126">
        <f>'Gold Prices'!B23/'Gold Prices'!B22-1</f>
        <v>0</v>
      </c>
      <c r="I23" s="19">
        <f>B23-D23</f>
        <v>4.6595751633986833E-2</v>
      </c>
      <c r="J23" s="19">
        <f>B23-E23</f>
        <v>3.7535382220811792E-2</v>
      </c>
      <c r="K23" s="23">
        <f>Table1[[#This Row],[US Small cap (bottom decile)]]-Table1[[#This Row],[S&amp;P 500 (includes dividends)]]</f>
        <v>-5.7145751633986837E-2</v>
      </c>
      <c r="L23" s="23">
        <f>B23-F23</f>
        <v>2.2676156028883621E-2</v>
      </c>
    </row>
    <row r="24" spans="1:12" ht="16.149999999999999">
      <c r="A24" s="125">
        <v>1949</v>
      </c>
      <c r="B24" s="126">
        <f>('S&amp;P 500 &amp; Raw Data'!B25-'S&amp;P 500 &amp; Raw Data'!B24+'S&amp;P 500 &amp; Raw Data'!C25)/'S&amp;P 500 &amp; Raw Data'!B24</f>
        <v>0.18303223684210526</v>
      </c>
      <c r="C24" s="126">
        <f>'Small Cap'!B23</f>
        <v>0.27600000000000002</v>
      </c>
      <c r="D24" s="126">
        <f>'T. Bill rates'!C27</f>
        <v>1.115E-2</v>
      </c>
      <c r="E24" s="126">
        <f>'S&amp;P 500 &amp; Raw Data'!F25</f>
        <v>4.6634851827973139E-2</v>
      </c>
      <c r="F24" s="126">
        <f>'S&amp;P 500 &amp; Raw Data'!J25</f>
        <v>5.3773011179658936E-2</v>
      </c>
      <c r="G24" s="126">
        <f>'Home Prices'!B25/'Home Prices'!B24-1</f>
        <v>8.9348516244314169E-4</v>
      </c>
      <c r="H24" s="126">
        <f>'Gold Prices'!B24/'Gold Prices'!B23-1</f>
        <v>-8.7006626332469028E-2</v>
      </c>
      <c r="I24" s="19">
        <f>B24-D24</f>
        <v>0.17188223684210527</v>
      </c>
      <c r="J24" s="19">
        <f>B24-E24</f>
        <v>0.13639738501413212</v>
      </c>
      <c r="K24" s="23">
        <f>Table1[[#This Row],[US Small cap (bottom decile)]]-Table1[[#This Row],[S&amp;P 500 (includes dividends)]]</f>
        <v>9.2967763157894762E-2</v>
      </c>
      <c r="L24" s="23">
        <f>B24-F24</f>
        <v>0.12925922566244633</v>
      </c>
    </row>
    <row r="25" spans="1:12" ht="16.149999999999999">
      <c r="A25" s="125">
        <v>1950</v>
      </c>
      <c r="B25" s="126">
        <f>('S&amp;P 500 &amp; Raw Data'!B26-'S&amp;P 500 &amp; Raw Data'!B25+'S&amp;P 500 &amp; Raw Data'!C26)/'S&amp;P 500 &amp; Raw Data'!B25</f>
        <v>0.30805539011316263</v>
      </c>
      <c r="C25" s="126">
        <f>'Small Cap'!B24</f>
        <v>0.52810000000000001</v>
      </c>
      <c r="D25" s="126">
        <f>'T. Bill rates'!C28</f>
        <v>1.2033333333333333E-2</v>
      </c>
      <c r="E25" s="126">
        <f>'S&amp;P 500 &amp; Raw Data'!F26</f>
        <v>4.2959574171096103E-3</v>
      </c>
      <c r="F25" s="126">
        <f>'S&amp;P 500 &amp; Raw Data'!J26</f>
        <v>4.2388173056720914E-2</v>
      </c>
      <c r="G25" s="126">
        <f>'Home Prices'!B26/'Home Prices'!B25-1</f>
        <v>3.6403925292814332E-2</v>
      </c>
      <c r="H25" s="126">
        <f>'Gold Prices'!B25/'Gold Prices'!B24-1</f>
        <v>9.5613758283370043E-2</v>
      </c>
      <c r="I25" s="19">
        <f>B25-D25</f>
        <v>0.29602205677982929</v>
      </c>
      <c r="J25" s="19">
        <f>B25-E25</f>
        <v>0.30375943269605304</v>
      </c>
      <c r="K25" s="23">
        <f>Table1[[#This Row],[US Small cap (bottom decile)]]-Table1[[#This Row],[S&amp;P 500 (includes dividends)]]</f>
        <v>0.22004460988683738</v>
      </c>
      <c r="L25" s="23">
        <f>B25-F25</f>
        <v>0.2656672170564417</v>
      </c>
    </row>
    <row r="26" spans="1:12" ht="16.149999999999999">
      <c r="A26" s="125">
        <v>1951</v>
      </c>
      <c r="B26" s="126">
        <f>('S&amp;P 500 &amp; Raw Data'!B27-'S&amp;P 500 &amp; Raw Data'!B26+'S&amp;P 500 &amp; Raw Data'!C27)/'S&amp;P 500 &amp; Raw Data'!B26</f>
        <v>0.23678463044542339</v>
      </c>
      <c r="C26" s="126">
        <f>'Small Cap'!B25</f>
        <v>3.8699999999999998E-2</v>
      </c>
      <c r="D26" s="126">
        <f>'T. Bill rates'!C29</f>
        <v>1.5175000000000001E-2</v>
      </c>
      <c r="E26" s="126">
        <f>'S&amp;P 500 &amp; Raw Data'!F27</f>
        <v>-2.9531392208319886E-3</v>
      </c>
      <c r="F26" s="126">
        <f>'S&amp;P 500 &amp; Raw Data'!J27</f>
        <v>-1.9098091301369691E-3</v>
      </c>
      <c r="G26" s="126">
        <f>'Home Prices'!B27/'Home Prices'!B26-1</f>
        <v>6.0476481368356705E-2</v>
      </c>
      <c r="H26" s="126">
        <f>'Gold Prices'!B26/'Gold Prices'!B25-1</f>
        <v>0</v>
      </c>
      <c r="I26" s="19">
        <f>B26-D26</f>
        <v>0.22160963044542339</v>
      </c>
      <c r="J26" s="19">
        <f>B26-E26</f>
        <v>0.23973776966625537</v>
      </c>
      <c r="K26" s="23">
        <f>Table1[[#This Row],[US Small cap (bottom decile)]]-Table1[[#This Row],[S&amp;P 500 (includes dividends)]]</f>
        <v>-0.1980846304454234</v>
      </c>
      <c r="L26" s="23">
        <f>B26-F26</f>
        <v>0.23869443957556036</v>
      </c>
    </row>
    <row r="27" spans="1:12" ht="16.149999999999999">
      <c r="A27" s="125">
        <v>1952</v>
      </c>
      <c r="B27" s="126">
        <f>('S&amp;P 500 &amp; Raw Data'!B28-'S&amp;P 500 &amp; Raw Data'!B27+'S&amp;P 500 &amp; Raw Data'!C28)/'S&amp;P 500 &amp; Raw Data'!B27</f>
        <v>0.18150988641144306</v>
      </c>
      <c r="C27" s="126">
        <f>'Small Cap'!B26</f>
        <v>1.0200000000000001E-2</v>
      </c>
      <c r="D27" s="126">
        <f>'T. Bill rates'!C30</f>
        <v>1.7225000000000001E-2</v>
      </c>
      <c r="E27" s="126">
        <f>'S&amp;P 500 &amp; Raw Data'!F28</f>
        <v>2.2679961918305656E-2</v>
      </c>
      <c r="F27" s="126">
        <f>'S&amp;P 500 &amp; Raw Data'!J28</f>
        <v>4.4412415047400768E-2</v>
      </c>
      <c r="G27" s="126">
        <f>'Home Prices'!B28/'Home Prices'!B27-1</f>
        <v>4.4066820276497776E-2</v>
      </c>
      <c r="H27" s="126">
        <f>'Gold Prices'!B27/'Gold Prices'!B26-1</f>
        <v>-3.4562211981565838E-3</v>
      </c>
      <c r="I27" s="19">
        <f>B27-D27</f>
        <v>0.16428488641144307</v>
      </c>
      <c r="J27" s="19">
        <f>B27-E27</f>
        <v>0.1588299244931374</v>
      </c>
      <c r="K27" s="23">
        <f>Table1[[#This Row],[US Small cap (bottom decile)]]-Table1[[#This Row],[S&amp;P 500 (includes dividends)]]</f>
        <v>-0.17130988641144307</v>
      </c>
      <c r="L27" s="23">
        <f>B27-F27</f>
        <v>0.13709747136404229</v>
      </c>
    </row>
    <row r="28" spans="1:12" ht="16.149999999999999">
      <c r="A28" s="125">
        <v>1953</v>
      </c>
      <c r="B28" s="126">
        <f>('S&amp;P 500 &amp; Raw Data'!B29-'S&amp;P 500 &amp; Raw Data'!B28+'S&amp;P 500 &amp; Raw Data'!C29)/'S&amp;P 500 &amp; Raw Data'!B28</f>
        <v>-1.2082047421904465E-2</v>
      </c>
      <c r="C28" s="126">
        <f>'Small Cap'!B27</f>
        <v>-5.9699999999999996E-2</v>
      </c>
      <c r="D28" s="126">
        <f>'T. Bill rates'!C31</f>
        <v>1.8908333333333333E-2</v>
      </c>
      <c r="E28" s="126">
        <f>'S&amp;P 500 &amp; Raw Data'!F29</f>
        <v>4.1438402589088513E-2</v>
      </c>
      <c r="F28" s="126">
        <f>'S&amp;P 500 &amp; Raw Data'!J29</f>
        <v>1.6201123818443276E-2</v>
      </c>
      <c r="G28" s="126">
        <f>'Home Prices'!B29/'Home Prices'!B28-1</f>
        <v>0.11516568544995809</v>
      </c>
      <c r="H28" s="126">
        <f>'Gold Prices'!B28/'Gold Prices'!B27-1</f>
        <v>6.9364161849712058E-3</v>
      </c>
      <c r="I28" s="19">
        <f>B28-D28</f>
        <v>-3.0990380755237797E-2</v>
      </c>
      <c r="J28" s="19">
        <f>B28-E28</f>
        <v>-5.3520450010992981E-2</v>
      </c>
      <c r="K28" s="23">
        <f>Table1[[#This Row],[US Small cap (bottom decile)]]-Table1[[#This Row],[S&amp;P 500 (includes dividends)]]</f>
        <v>-4.7617952578095535E-2</v>
      </c>
      <c r="L28" s="23">
        <f>B28-F28</f>
        <v>-2.8283171240347741E-2</v>
      </c>
    </row>
    <row r="29" spans="1:12" ht="16.149999999999999">
      <c r="A29" s="125">
        <v>1954</v>
      </c>
      <c r="B29" s="126">
        <f>('S&amp;P 500 &amp; Raw Data'!B30-'S&amp;P 500 &amp; Raw Data'!B29+'S&amp;P 500 &amp; Raw Data'!C30)/'S&amp;P 500 &amp; Raw Data'!B29</f>
        <v>0.52563321241434902</v>
      </c>
      <c r="C29" s="126">
        <f>'Small Cap'!B28</f>
        <v>0.64969999999999994</v>
      </c>
      <c r="D29" s="126">
        <f>'T. Bill rates'!C32</f>
        <v>9.3752000000000002E-3</v>
      </c>
      <c r="E29" s="126">
        <f>'S&amp;P 500 &amp; Raw Data'!F30</f>
        <v>3.2898034558095555E-2</v>
      </c>
      <c r="F29" s="126">
        <f>'S&amp;P 500 &amp; Raw Data'!J30</f>
        <v>6.1579051817707856E-2</v>
      </c>
      <c r="G29" s="126">
        <f>'Home Prices'!B30/'Home Prices'!B29-1</f>
        <v>9.2272202998846531E-3</v>
      </c>
      <c r="H29" s="126">
        <f>'Gold Prices'!B29/'Gold Prices'!B28-1</f>
        <v>5.7405281285876075E-3</v>
      </c>
      <c r="I29" s="19">
        <f>B29-D29</f>
        <v>0.51625801241434899</v>
      </c>
      <c r="J29" s="19">
        <f>B29-E29</f>
        <v>0.49273517785625348</v>
      </c>
      <c r="K29" s="23">
        <f>Table1[[#This Row],[US Small cap (bottom decile)]]-Table1[[#This Row],[S&amp;P 500 (includes dividends)]]</f>
        <v>0.12406678758565093</v>
      </c>
      <c r="L29" s="23">
        <f>B29-F29</f>
        <v>0.46405416059664117</v>
      </c>
    </row>
    <row r="30" spans="1:12" ht="16.149999999999999">
      <c r="A30" s="125">
        <v>1955</v>
      </c>
      <c r="B30" s="126">
        <f>('S&amp;P 500 &amp; Raw Data'!B31-'S&amp;P 500 &amp; Raw Data'!B30+'S&amp;P 500 &amp; Raw Data'!C31)/'S&amp;P 500 &amp; Raw Data'!B30</f>
        <v>0.32597331851028349</v>
      </c>
      <c r="C30" s="126">
        <f>'Small Cap'!B29</f>
        <v>0.26719999999999999</v>
      </c>
      <c r="D30" s="126">
        <f>'T. Bill rates'!C33</f>
        <v>1.7243426294820716E-2</v>
      </c>
      <c r="E30" s="126">
        <f>'S&amp;P 500 &amp; Raw Data'!F31</f>
        <v>-1.3364391288618781E-2</v>
      </c>
      <c r="F30" s="126">
        <f>'S&amp;P 500 &amp; Raw Data'!J31</f>
        <v>2.044690004344954E-2</v>
      </c>
      <c r="G30" s="126">
        <f>'Home Prices'!B31/'Home Prices'!B30-1</f>
        <v>0</v>
      </c>
      <c r="H30" s="126">
        <f>'Gold Prices'!B30/'Gold Prices'!B29-1</f>
        <v>-2.8538812785383616E-4</v>
      </c>
      <c r="I30" s="19">
        <f>B30-D30</f>
        <v>0.30872989221546276</v>
      </c>
      <c r="J30" s="19">
        <f>B30-E30</f>
        <v>0.33933770979890227</v>
      </c>
      <c r="K30" s="23">
        <f>Table1[[#This Row],[US Small cap (bottom decile)]]-Table1[[#This Row],[S&amp;P 500 (includes dividends)]]</f>
        <v>-5.8773318510283501E-2</v>
      </c>
      <c r="L30" s="23">
        <f>B30-F30</f>
        <v>0.30552641846683393</v>
      </c>
    </row>
    <row r="31" spans="1:12" ht="16.149999999999999">
      <c r="A31" s="125">
        <v>1956</v>
      </c>
      <c r="B31" s="126">
        <f>('S&amp;P 500 &amp; Raw Data'!B32-'S&amp;P 500 &amp; Raw Data'!B31+'S&amp;P 500 &amp; Raw Data'!C32)/'S&amp;P 500 &amp; Raw Data'!B31</f>
        <v>7.4395118733509347E-2</v>
      </c>
      <c r="C31" s="126">
        <f>'Small Cap'!B30</f>
        <v>-8.8999999999999999E-3</v>
      </c>
      <c r="D31" s="126">
        <f>'T. Bill rates'!C34</f>
        <v>2.6213888888888887E-2</v>
      </c>
      <c r="E31" s="126">
        <f>'S&amp;P 500 &amp; Raw Data'!F32</f>
        <v>-2.2557738173154165E-2</v>
      </c>
      <c r="F31" s="126">
        <f>'S&amp;P 500 &amp; Raw Data'!J32</f>
        <v>-2.3526541979620903E-2</v>
      </c>
      <c r="G31" s="126">
        <f>'Home Prices'!B32/'Home Prices'!B31-1</f>
        <v>9.1428571428571193E-3</v>
      </c>
      <c r="H31" s="126">
        <f>'Gold Prices'!B31/'Gold Prices'!B30-1</f>
        <v>-1.1418783899515006E-3</v>
      </c>
      <c r="I31" s="19">
        <f>B31-D31</f>
        <v>4.8181229844620463E-2</v>
      </c>
      <c r="J31" s="19">
        <f>B31-E31</f>
        <v>9.6952856906663512E-2</v>
      </c>
      <c r="K31" s="23">
        <f>Table1[[#This Row],[US Small cap (bottom decile)]]-Table1[[#This Row],[S&amp;P 500 (includes dividends)]]</f>
        <v>-8.3295118733509352E-2</v>
      </c>
      <c r="L31" s="23">
        <f>B31-F31</f>
        <v>9.7921660713130243E-2</v>
      </c>
    </row>
    <row r="32" spans="1:12" ht="16.149999999999999">
      <c r="A32" s="125">
        <v>1957</v>
      </c>
      <c r="B32" s="126">
        <f>('S&amp;P 500 &amp; Raw Data'!B33-'S&amp;P 500 &amp; Raw Data'!B32+'S&amp;P 500 &amp; Raw Data'!C33)/'S&amp;P 500 &amp; Raw Data'!B32</f>
        <v>-0.1045736018855796</v>
      </c>
      <c r="C32" s="126">
        <f>'Small Cap'!B31</f>
        <v>-0.15190000000000001</v>
      </c>
      <c r="D32" s="126">
        <f>'T. Bill rates'!C35</f>
        <v>3.2245669291338583E-2</v>
      </c>
      <c r="E32" s="126">
        <f>'S&amp;P 500 &amp; Raw Data'!F33</f>
        <v>6.7970128466249904E-2</v>
      </c>
      <c r="F32" s="126">
        <f>'S&amp;P 500 &amp; Raw Data'!J33</f>
        <v>-7.1892844025423647E-3</v>
      </c>
      <c r="G32" s="126">
        <f>'Home Prices'!B33/'Home Prices'!B32-1</f>
        <v>2.7180067950169917E-2</v>
      </c>
      <c r="H32" s="126">
        <f>'Gold Prices'!B32/'Gold Prices'!B31-1</f>
        <v>-1.1431837667904565E-3</v>
      </c>
      <c r="I32" s="19">
        <f>B32-D32</f>
        <v>-0.13681927117691817</v>
      </c>
      <c r="J32" s="19">
        <f>B32-E32</f>
        <v>-0.17254373035182952</v>
      </c>
      <c r="K32" s="23">
        <f>Table1[[#This Row],[US Small cap (bottom decile)]]-Table1[[#This Row],[S&amp;P 500 (includes dividends)]]</f>
        <v>-4.7326398114420409E-2</v>
      </c>
      <c r="L32" s="23">
        <f>B32-F32</f>
        <v>-9.7384317483037233E-2</v>
      </c>
    </row>
    <row r="33" spans="1:12" ht="16.149999999999999">
      <c r="A33" s="125">
        <v>1958</v>
      </c>
      <c r="B33" s="126">
        <f>('S&amp;P 500 &amp; Raw Data'!B34-'S&amp;P 500 &amp; Raw Data'!B33+'S&amp;P 500 &amp; Raw Data'!C34)/'S&amp;P 500 &amp; Raw Data'!B33</f>
        <v>0.43719954988747184</v>
      </c>
      <c r="C33" s="126">
        <f>'Small Cap'!B32</f>
        <v>0.68799999999999994</v>
      </c>
      <c r="D33" s="126">
        <f>'T. Bill rates'!C36</f>
        <v>1.7665461847389558E-2</v>
      </c>
      <c r="E33" s="126">
        <f>'S&amp;P 500 &amp; Raw Data'!F34</f>
        <v>-2.0990181755274694E-2</v>
      </c>
      <c r="F33" s="126">
        <f>'S&amp;P 500 &amp; Raw Data'!J34</f>
        <v>6.4300928973360261E-2</v>
      </c>
      <c r="G33" s="126">
        <f>'Home Prices'!B34/'Home Prices'!B33-1</f>
        <v>6.6152149944873617E-3</v>
      </c>
      <c r="H33" s="126">
        <f>'Gold Prices'!B33/'Gold Prices'!B32-1</f>
        <v>4.2918454935620964E-3</v>
      </c>
      <c r="I33" s="19">
        <f>B33-D33</f>
        <v>0.4195340880400823</v>
      </c>
      <c r="J33" s="19">
        <f>B33-E33</f>
        <v>0.45818973164274651</v>
      </c>
      <c r="K33" s="23">
        <f>Table1[[#This Row],[US Small cap (bottom decile)]]-Table1[[#This Row],[S&amp;P 500 (includes dividends)]]</f>
        <v>0.25080045011252811</v>
      </c>
      <c r="L33" s="23">
        <f>B33-F33</f>
        <v>0.37289862091411158</v>
      </c>
    </row>
    <row r="34" spans="1:12" ht="16.149999999999999">
      <c r="A34" s="125">
        <v>1959</v>
      </c>
      <c r="B34" s="126">
        <f>('S&amp;P 500 &amp; Raw Data'!B35-'S&amp;P 500 &amp; Raw Data'!B34+'S&amp;P 500 &amp; Raw Data'!C35)/'S&amp;P 500 &amp; Raw Data'!B34</f>
        <v>0.12056457163557326</v>
      </c>
      <c r="C34" s="126">
        <f>'Small Cap'!B33</f>
        <v>0.127</v>
      </c>
      <c r="D34" s="126">
        <f>'T. Bill rates'!C37</f>
        <v>3.3860159362549803E-2</v>
      </c>
      <c r="E34" s="126">
        <f>'S&amp;P 500 &amp; Raw Data'!F35</f>
        <v>-2.6466312591385065E-2</v>
      </c>
      <c r="F34" s="126">
        <f>'S&amp;P 500 &amp; Raw Data'!J35</f>
        <v>1.5743430895022732E-2</v>
      </c>
      <c r="G34" s="126">
        <f>'Home Prices'!B35/'Home Prices'!B34-1</f>
        <v>1.0952902519167917E-3</v>
      </c>
      <c r="H34" s="126">
        <f>'Gold Prices'!B34/'Gold Prices'!B33-1</f>
        <v>0</v>
      </c>
      <c r="I34" s="19">
        <f>B34-D34</f>
        <v>8.6704412273023446E-2</v>
      </c>
      <c r="J34" s="19">
        <f>B34-E34</f>
        <v>0.14703088422695831</v>
      </c>
      <c r="K34" s="23">
        <f>Table1[[#This Row],[US Small cap (bottom decile)]]-Table1[[#This Row],[S&amp;P 500 (includes dividends)]]</f>
        <v>6.4354283644267457E-3</v>
      </c>
      <c r="L34" s="23">
        <f>B34-F34</f>
        <v>0.10482114074055052</v>
      </c>
    </row>
    <row r="35" spans="1:12" ht="16.149999999999999">
      <c r="A35" s="125">
        <v>1960</v>
      </c>
      <c r="B35" s="126">
        <f>('S&amp;P 500 &amp; Raw Data'!B36-'S&amp;P 500 &amp; Raw Data'!B35+'S&amp;P 500 &amp; Raw Data'!C36)/'S&amp;P 500 &amp; Raw Data'!B35</f>
        <v>3.36535314743695E-3</v>
      </c>
      <c r="C35" s="126">
        <f>'Small Cap'!B34</f>
        <v>-3.5699999999999996E-2</v>
      </c>
      <c r="D35" s="126">
        <f>'T. Bill rates'!C38</f>
        <v>2.8729718875502006E-2</v>
      </c>
      <c r="E35" s="126">
        <f>'S&amp;P 500 &amp; Raw Data'!F36</f>
        <v>0.11639503690963365</v>
      </c>
      <c r="F35" s="126">
        <f>'S&amp;P 500 &amp; Raw Data'!J36</f>
        <v>6.6631871633034342E-2</v>
      </c>
      <c r="G35" s="126">
        <f>'Home Prices'!B36/'Home Prices'!B35-1</f>
        <v>7.6586433260392717E-3</v>
      </c>
      <c r="H35" s="126">
        <f>'Gold Prices'!B35/'Gold Prices'!B34-1</f>
        <v>4.8433048433049741E-3</v>
      </c>
      <c r="I35" s="19">
        <f>B35-D35</f>
        <v>-2.5364365728065056E-2</v>
      </c>
      <c r="J35" s="19">
        <f>B35-E35</f>
        <v>-0.1130296837621967</v>
      </c>
      <c r="K35" s="23">
        <f>Table1[[#This Row],[US Small cap (bottom decile)]]-Table1[[#This Row],[S&amp;P 500 (includes dividends)]]</f>
        <v>-3.9065353147436949E-2</v>
      </c>
      <c r="L35" s="23">
        <f>B35-F35</f>
        <v>-6.3266518485597389E-2</v>
      </c>
    </row>
    <row r="36" spans="1:12" ht="16.149999999999999">
      <c r="A36" s="125">
        <v>1961</v>
      </c>
      <c r="B36" s="126">
        <f>('S&amp;P 500 &amp; Raw Data'!B37-'S&amp;P 500 &amp; Raw Data'!B36+'S&amp;P 500 &amp; Raw Data'!C37)/'S&amp;P 500 &amp; Raw Data'!B36</f>
        <v>0.26637712958182752</v>
      </c>
      <c r="C36" s="126">
        <f>'Small Cap'!B35</f>
        <v>0.29449999999999998</v>
      </c>
      <c r="D36" s="126">
        <f>'T. Bill rates'!C39</f>
        <v>2.3524899598393576E-2</v>
      </c>
      <c r="E36" s="126">
        <f>'S&amp;P 500 &amp; Raw Data'!F37</f>
        <v>2.0609208076323167E-2</v>
      </c>
      <c r="F36" s="126">
        <f>'S&amp;P 500 &amp; Raw Data'!J37</f>
        <v>5.0999999999999997E-2</v>
      </c>
      <c r="G36" s="126">
        <f>'Home Prices'!B37/'Home Prices'!B36-1</f>
        <v>9.7719869706840434E-3</v>
      </c>
      <c r="H36" s="126">
        <f>'Gold Prices'!B36/'Gold Prices'!B35-1</f>
        <v>-5.6705415367175327E-4</v>
      </c>
      <c r="I36" s="19">
        <f>B36-D36</f>
        <v>0.24285222998343395</v>
      </c>
      <c r="J36" s="19">
        <f>B36-E36</f>
        <v>0.24576792150550436</v>
      </c>
      <c r="K36" s="23">
        <f>Table1[[#This Row],[US Small cap (bottom decile)]]-Table1[[#This Row],[S&amp;P 500 (includes dividends)]]</f>
        <v>2.8122870418172463E-2</v>
      </c>
      <c r="L36" s="23">
        <f>B36-F36</f>
        <v>0.21537712958182753</v>
      </c>
    </row>
    <row r="37" spans="1:12" ht="16.149999999999999">
      <c r="A37" s="125">
        <v>1962</v>
      </c>
      <c r="B37" s="126">
        <f>('S&amp;P 500 &amp; Raw Data'!B38-'S&amp;P 500 &amp; Raw Data'!B37+'S&amp;P 500 &amp; Raw Data'!C38)/'S&amp;P 500 &amp; Raw Data'!B37</f>
        <v>-8.8114605171208879E-2</v>
      </c>
      <c r="C37" s="126">
        <f>'Small Cap'!B36</f>
        <v>-9.7799999999999998E-2</v>
      </c>
      <c r="D37" s="126">
        <f>'T. Bill rates'!C40</f>
        <v>2.7723694779116466E-2</v>
      </c>
      <c r="E37" s="126">
        <f>'S&amp;P 500 &amp; Raw Data'!F38</f>
        <v>5.693544054008462E-2</v>
      </c>
      <c r="F37" s="126">
        <f>'S&amp;P 500 &amp; Raw Data'!J38</f>
        <v>6.4953279936065755E-2</v>
      </c>
      <c r="G37" s="126">
        <f>'Home Prices'!B38/'Home Prices'!B37-1</f>
        <v>3.2258064516126339E-3</v>
      </c>
      <c r="H37" s="126">
        <f>'Gold Prices'!B37/'Gold Prices'!B36-1</f>
        <v>-5.6737588652489013E-4</v>
      </c>
      <c r="I37" s="19">
        <f>B37-D37</f>
        <v>-0.11583829995032535</v>
      </c>
      <c r="J37" s="19">
        <f>B37-E37</f>
        <v>-0.14505004571129348</v>
      </c>
      <c r="K37" s="23">
        <f>Table1[[#This Row],[US Small cap (bottom decile)]]-Table1[[#This Row],[S&amp;P 500 (includes dividends)]]</f>
        <v>-9.685394828791119E-3</v>
      </c>
      <c r="L37" s="23">
        <f>B37-F37</f>
        <v>-0.15306788510727465</v>
      </c>
    </row>
    <row r="38" spans="1:12" ht="16.149999999999999">
      <c r="A38" s="125">
        <v>1963</v>
      </c>
      <c r="B38" s="126">
        <f>('S&amp;P 500 &amp; Raw Data'!B39-'S&amp;P 500 &amp; Raw Data'!B38+'S&amp;P 500 &amp; Raw Data'!C39)/'S&amp;P 500 &amp; Raw Data'!B38</f>
        <v>0.22611927099841514</v>
      </c>
      <c r="C38" s="126">
        <f>'Small Cap'!B37</f>
        <v>0.19649999999999998</v>
      </c>
      <c r="D38" s="126">
        <f>'T. Bill rates'!C41</f>
        <v>3.1560240963855422E-2</v>
      </c>
      <c r="E38" s="126">
        <f>'S&amp;P 500 &amp; Raw Data'!F39</f>
        <v>1.6841620739546127E-2</v>
      </c>
      <c r="F38" s="126">
        <f>'S&amp;P 500 &amp; Raw Data'!J39</f>
        <v>5.4644805711862345E-2</v>
      </c>
      <c r="G38" s="126">
        <f>'Home Prices'!B39/'Home Prices'!B38-1</f>
        <v>2.143622722400873E-2</v>
      </c>
      <c r="H38" s="126">
        <f>'Gold Prices'!B38/'Gold Prices'!B37-1</f>
        <v>-3.9738858927048648E-3</v>
      </c>
      <c r="I38" s="19">
        <f>B38-D38</f>
        <v>0.19455903003455971</v>
      </c>
      <c r="J38" s="19">
        <f>B38-E38</f>
        <v>0.20927765025886902</v>
      </c>
      <c r="K38" s="23">
        <f>Table1[[#This Row],[US Small cap (bottom decile)]]-Table1[[#This Row],[S&amp;P 500 (includes dividends)]]</f>
        <v>-2.9619270998415159E-2</v>
      </c>
      <c r="L38" s="23">
        <f>B38-F38</f>
        <v>0.1714744652865528</v>
      </c>
    </row>
    <row r="39" spans="1:12" ht="16.149999999999999">
      <c r="A39" s="125">
        <v>1964</v>
      </c>
      <c r="B39" s="126">
        <f>('S&amp;P 500 &amp; Raw Data'!B40-'S&amp;P 500 &amp; Raw Data'!B39+'S&amp;P 500 &amp; Raw Data'!C40)/'S&amp;P 500 &amp; Raw Data'!B39</f>
        <v>0.16415455878432425</v>
      </c>
      <c r="C39" s="126">
        <f>'Small Cap'!B38</f>
        <v>0.23250000000000001</v>
      </c>
      <c r="D39" s="126">
        <f>'T. Bill rates'!C42</f>
        <v>3.5457370517928286E-2</v>
      </c>
      <c r="E39" s="126">
        <f>'S&amp;P 500 &amp; Raw Data'!F40</f>
        <v>3.7280648911540815E-2</v>
      </c>
      <c r="F39" s="126">
        <f>'S&amp;P 500 &amp; Raw Data'!J40</f>
        <v>5.1617392722850271E-2</v>
      </c>
      <c r="G39" s="126">
        <f>'Home Prices'!B40/'Home Prices'!B39-1</f>
        <v>1.2591815320041944E-2</v>
      </c>
      <c r="H39" s="126">
        <f>'Gold Prices'!B39/'Gold Prices'!B38-1</f>
        <v>2.8498147620403813E-4</v>
      </c>
      <c r="I39" s="19">
        <f>B39-D39</f>
        <v>0.12869718826639598</v>
      </c>
      <c r="J39" s="19">
        <f>B39-E39</f>
        <v>0.12687390987278344</v>
      </c>
      <c r="K39" s="23">
        <f>Table1[[#This Row],[US Small cap (bottom decile)]]-Table1[[#This Row],[S&amp;P 500 (includes dividends)]]</f>
        <v>6.8345441215675762E-2</v>
      </c>
      <c r="L39" s="23">
        <f>B39-F39</f>
        <v>0.11253716606147399</v>
      </c>
    </row>
    <row r="40" spans="1:12" ht="16.149999999999999">
      <c r="A40" s="125">
        <v>1965</v>
      </c>
      <c r="B40" s="126">
        <f>('S&amp;P 500 &amp; Raw Data'!B41-'S&amp;P 500 &amp; Raw Data'!B40+'S&amp;P 500 &amp; Raw Data'!C41)/'S&amp;P 500 &amp; Raw Data'!B40</f>
        <v>0.12399242477876114</v>
      </c>
      <c r="C40" s="126">
        <f>'Small Cap'!B39</f>
        <v>0.45240000000000002</v>
      </c>
      <c r="D40" s="126">
        <f>'T. Bill rates'!C43</f>
        <v>3.9490763052208833E-2</v>
      </c>
      <c r="E40" s="126">
        <f>'S&amp;P 500 &amp; Raw Data'!F41</f>
        <v>7.1885509359262342E-3</v>
      </c>
      <c r="F40" s="126">
        <f>'S&amp;P 500 &amp; Raw Data'!J41</f>
        <v>3.1900094622538809E-2</v>
      </c>
      <c r="G40" s="126">
        <f>'Home Prices'!B41/'Home Prices'!B40-1</f>
        <v>1.6580310880829119E-2</v>
      </c>
      <c r="H40" s="126">
        <f>'Gold Prices'!B40/'Gold Prices'!B39-1</f>
        <v>5.6980056980049376E-4</v>
      </c>
      <c r="I40" s="19">
        <f>B40-D40</f>
        <v>8.450166172655231E-2</v>
      </c>
      <c r="J40" s="19">
        <f>B40-E40</f>
        <v>0.11680387384283492</v>
      </c>
      <c r="K40" s="23">
        <f>Table1[[#This Row],[US Small cap (bottom decile)]]-Table1[[#This Row],[S&amp;P 500 (includes dividends)]]</f>
        <v>0.32840757522123887</v>
      </c>
      <c r="L40" s="23">
        <f>B40-F40</f>
        <v>9.2092330156222341E-2</v>
      </c>
    </row>
    <row r="41" spans="1:12" ht="16.149999999999999">
      <c r="A41" s="125">
        <v>1966</v>
      </c>
      <c r="B41" s="126">
        <f>('S&amp;P 500 &amp; Raw Data'!B42-'S&amp;P 500 &amp; Raw Data'!B41+'S&amp;P 500 &amp; Raw Data'!C42)/'S&amp;P 500 &amp; Raw Data'!B41</f>
        <v>-9.9709542356377898E-2</v>
      </c>
      <c r="C41" s="126">
        <f>'Small Cap'!B40</f>
        <v>-9.4700000000000006E-2</v>
      </c>
      <c r="D41" s="126">
        <f>'T. Bill rates'!C44</f>
        <v>4.8557199999999995E-2</v>
      </c>
      <c r="E41" s="126">
        <f>'S&amp;P 500 &amp; Raw Data'!F42</f>
        <v>2.9079409324299622E-2</v>
      </c>
      <c r="F41" s="126">
        <f>'S&amp;P 500 &amp; Raw Data'!J42</f>
        <v>-3.4453615975776369E-2</v>
      </c>
      <c r="G41" s="126">
        <f>'Home Prices'!B42/'Home Prices'!B41-1</f>
        <v>1.2232415902140525E-2</v>
      </c>
      <c r="H41" s="126">
        <f>'Gold Prices'!B41/'Gold Prices'!B40-1</f>
        <v>2.8473804100248579E-4</v>
      </c>
      <c r="I41" s="19">
        <f>B41-D41</f>
        <v>-0.14826674235637788</v>
      </c>
      <c r="J41" s="19">
        <f>B41-E41</f>
        <v>-0.12878895168067753</v>
      </c>
      <c r="K41" s="23">
        <f>Table1[[#This Row],[US Small cap (bottom decile)]]-Table1[[#This Row],[S&amp;P 500 (includes dividends)]]</f>
        <v>5.0095423563778912E-3</v>
      </c>
      <c r="L41" s="23">
        <f>B41-F41</f>
        <v>-6.5255926380601528E-2</v>
      </c>
    </row>
    <row r="42" spans="1:12" ht="16.149999999999999">
      <c r="A42" s="125">
        <v>1967</v>
      </c>
      <c r="B42" s="126">
        <f>('S&amp;P 500 &amp; Raw Data'!B43-'S&amp;P 500 &amp; Raw Data'!B42+'S&amp;P 500 &amp; Raw Data'!C43)/'S&amp;P 500 &amp; Raw Data'!B42</f>
        <v>0.23802966513133328</v>
      </c>
      <c r="C42" s="126">
        <f>'Small Cap'!B41</f>
        <v>1.1587000000000001</v>
      </c>
      <c r="D42" s="126">
        <f>'T. Bill rates'!C45</f>
        <v>4.2934538152610439E-2</v>
      </c>
      <c r="E42" s="126">
        <f>'S&amp;P 500 &amp; Raw Data'!F43</f>
        <v>-1.5806209932824666E-2</v>
      </c>
      <c r="F42" s="126">
        <f>'S&amp;P 500 &amp; Raw Data'!J43</f>
        <v>8.9522661484468247E-3</v>
      </c>
      <c r="G42" s="126">
        <f>'Home Prices'!B43/'Home Prices'!B42-1</f>
        <v>2.3162134944612278E-2</v>
      </c>
      <c r="H42" s="126">
        <f>'Gold Prices'!B42/'Gold Prices'!B41-1</f>
        <v>-5.1238257899230977E-3</v>
      </c>
      <c r="I42" s="19">
        <f>B42-D42</f>
        <v>0.19509512697872283</v>
      </c>
      <c r="J42" s="19">
        <f>B42-E42</f>
        <v>0.25383587506415795</v>
      </c>
      <c r="K42" s="23">
        <f>Table1[[#This Row],[US Small cap (bottom decile)]]-Table1[[#This Row],[S&amp;P 500 (includes dividends)]]</f>
        <v>0.92067033486866678</v>
      </c>
      <c r="L42" s="23">
        <f>B42-F42</f>
        <v>0.22907739898288645</v>
      </c>
    </row>
    <row r="43" spans="1:12" ht="16.149999999999999">
      <c r="A43" s="125">
        <v>1968</v>
      </c>
      <c r="B43" s="126">
        <f>('S&amp;P 500 &amp; Raw Data'!B44-'S&amp;P 500 &amp; Raw Data'!B43+'S&amp;P 500 &amp; Raw Data'!C44)/'S&amp;P 500 &amp; Raw Data'!B43</f>
        <v>0.10814862651601535</v>
      </c>
      <c r="C43" s="126">
        <f>'Small Cap'!B42</f>
        <v>0.6069</v>
      </c>
      <c r="D43" s="126">
        <f>'T. Bill rates'!C46</f>
        <v>5.3376E-2</v>
      </c>
      <c r="E43" s="126">
        <f>'S&amp;P 500 &amp; Raw Data'!F44</f>
        <v>3.2746196950768365E-2</v>
      </c>
      <c r="F43" s="126">
        <f>'S&amp;P 500 &amp; Raw Data'!J44</f>
        <v>4.845146224309746E-2</v>
      </c>
      <c r="G43" s="126">
        <f>'Home Prices'!B44/'Home Prices'!B43-1</f>
        <v>4.1338582677165281E-2</v>
      </c>
      <c r="H43" s="126">
        <f>'Gold Prices'!B43/'Gold Prices'!B42-1</f>
        <v>0.12474964234620889</v>
      </c>
      <c r="I43" s="19">
        <f>B43-D43</f>
        <v>5.4772626516015353E-2</v>
      </c>
      <c r="J43" s="19">
        <f>B43-E43</f>
        <v>7.5402429565246981E-2</v>
      </c>
      <c r="K43" s="23">
        <f>Table1[[#This Row],[US Small cap (bottom decile)]]-Table1[[#This Row],[S&amp;P 500 (includes dividends)]]</f>
        <v>0.49875137348398463</v>
      </c>
      <c r="L43" s="23">
        <f>B43-F43</f>
        <v>5.9697164272917894E-2</v>
      </c>
    </row>
    <row r="44" spans="1:12" ht="16.149999999999999">
      <c r="A44" s="125">
        <v>1969</v>
      </c>
      <c r="B44" s="126">
        <f>('S&amp;P 500 &amp; Raw Data'!B45-'S&amp;P 500 &amp; Raw Data'!B44+'S&amp;P 500 &amp; Raw Data'!C45)/'S&amp;P 500 &amp; Raw Data'!B44</f>
        <v>-8.2413710764490639E-2</v>
      </c>
      <c r="C44" s="126">
        <f>'Small Cap'!B43</f>
        <v>-0.32950000000000002</v>
      </c>
      <c r="D44" s="126">
        <f>'T. Bill rates'!C47</f>
        <v>6.668467741935484E-2</v>
      </c>
      <c r="E44" s="126">
        <f>'S&amp;P 500 &amp; Raw Data'!F45</f>
        <v>-5.0140493209926106E-2</v>
      </c>
      <c r="F44" s="126">
        <f>'S&amp;P 500 &amp; Raw Data'!J45</f>
        <v>-2.0251642507921469E-2</v>
      </c>
      <c r="G44" s="126">
        <f>'Home Prices'!B45/'Home Prices'!B44-1</f>
        <v>6.9943289224952743E-2</v>
      </c>
      <c r="H44" s="126">
        <f>'Gold Prices'!B44/'Gold Prices'!B43-1</f>
        <v>5.0114474688374377E-2</v>
      </c>
      <c r="I44" s="19">
        <f>B44-D44</f>
        <v>-0.14909838818384546</v>
      </c>
      <c r="J44" s="19">
        <f>B44-E44</f>
        <v>-3.2273217554564533E-2</v>
      </c>
      <c r="K44" s="23">
        <f>Table1[[#This Row],[US Small cap (bottom decile)]]-Table1[[#This Row],[S&amp;P 500 (includes dividends)]]</f>
        <v>-0.24708628923550938</v>
      </c>
      <c r="L44" s="23">
        <f>B44-F44</f>
        <v>-6.216206825656917E-2</v>
      </c>
    </row>
    <row r="45" spans="1:12" ht="16.149999999999999">
      <c r="A45" s="125">
        <v>1970</v>
      </c>
      <c r="B45" s="126">
        <f>('S&amp;P 500 &amp; Raw Data'!B46-'S&amp;P 500 &amp; Raw Data'!B45+'S&amp;P 500 &amp; Raw Data'!C46)/'S&amp;P 500 &amp; Raw Data'!B45</f>
        <v>3.5611449054964189E-2</v>
      </c>
      <c r="C45" s="126">
        <f>'Small Cap'!B44</f>
        <v>-0.18780000000000002</v>
      </c>
      <c r="D45" s="126">
        <f>'T. Bill rates'!C48</f>
        <v>6.3909999999999995E-2</v>
      </c>
      <c r="E45" s="126">
        <f>'S&amp;P 500 &amp; Raw Data'!F46</f>
        <v>0.16754737183412338</v>
      </c>
      <c r="F45" s="126">
        <f>'S&amp;P 500 &amp; Raw Data'!J46</f>
        <v>5.6495676569888728E-2</v>
      </c>
      <c r="G45" s="126">
        <f>'Home Prices'!B46/'Home Prices'!B45-1</f>
        <v>8.2155477031802038E-2</v>
      </c>
      <c r="H45" s="126">
        <f>'Gold Prices'!B45/'Gold Prices'!B44-1</f>
        <v>-9.4476744186046457E-2</v>
      </c>
      <c r="I45" s="19">
        <f>B45-D45</f>
        <v>-2.8298550945035805E-2</v>
      </c>
      <c r="J45" s="19">
        <f>B45-E45</f>
        <v>-0.13193592277915919</v>
      </c>
      <c r="K45" s="23">
        <f>Table1[[#This Row],[US Small cap (bottom decile)]]-Table1[[#This Row],[S&amp;P 500 (includes dividends)]]</f>
        <v>-0.22341144905496421</v>
      </c>
      <c r="L45" s="23">
        <f>B45-F45</f>
        <v>-2.0884227514924539E-2</v>
      </c>
    </row>
    <row r="46" spans="1:12" ht="16.149999999999999">
      <c r="A46" s="125">
        <v>1971</v>
      </c>
      <c r="B46" s="126">
        <f>('S&amp;P 500 &amp; Raw Data'!B47-'S&amp;P 500 &amp; Raw Data'!B46+'S&amp;P 500 &amp; Raw Data'!C47)/'S&amp;P 500 &amp; Raw Data'!B46</f>
        <v>0.14221150298426474</v>
      </c>
      <c r="C46" s="126">
        <f>'Small Cap'!B45</f>
        <v>0.15960000000000002</v>
      </c>
      <c r="D46" s="126">
        <f>'T. Bill rates'!C49</f>
        <v>4.3342570281124503E-2</v>
      </c>
      <c r="E46" s="126">
        <f>'S&amp;P 500 &amp; Raw Data'!F47</f>
        <v>9.7868966197122972E-2</v>
      </c>
      <c r="F46" s="126">
        <f>'S&amp;P 500 &amp; Raw Data'!J47</f>
        <v>0.1400146617421994</v>
      </c>
      <c r="G46" s="126">
        <f>'Home Prices'!B47/'Home Prices'!B46-1</f>
        <v>4.24489795918368E-2</v>
      </c>
      <c r="H46" s="126">
        <f>'Gold Prices'!B46/'Gold Prices'!B45-1</f>
        <v>0.16693418940609939</v>
      </c>
      <c r="I46" s="19">
        <f>B46-D46</f>
        <v>9.8868932703140233E-2</v>
      </c>
      <c r="J46" s="19">
        <f>B46-E46</f>
        <v>4.434253678714177E-2</v>
      </c>
      <c r="K46" s="23">
        <f>Table1[[#This Row],[US Small cap (bottom decile)]]-Table1[[#This Row],[S&amp;P 500 (includes dividends)]]</f>
        <v>1.7388497015735277E-2</v>
      </c>
      <c r="L46" s="23">
        <f>B46-F46</f>
        <v>2.1968412420653449E-3</v>
      </c>
    </row>
    <row r="47" spans="1:12" ht="16.149999999999999">
      <c r="A47" s="125">
        <v>1972</v>
      </c>
      <c r="B47" s="126">
        <f>('S&amp;P 500 &amp; Raw Data'!B48-'S&amp;P 500 &amp; Raw Data'!B47+'S&amp;P 500 &amp; Raw Data'!C48)/'S&amp;P 500 &amp; Raw Data'!B47</f>
        <v>0.18755362915074925</v>
      </c>
      <c r="C47" s="126">
        <f>'Small Cap'!B46</f>
        <v>1.6000000000000001E-3</v>
      </c>
      <c r="D47" s="126">
        <f>'T. Bill rates'!C50</f>
        <v>4.0618399999999999E-2</v>
      </c>
      <c r="E47" s="126">
        <f>'S&amp;P 500 &amp; Raw Data'!F48</f>
        <v>2.818449050444969E-2</v>
      </c>
      <c r="F47" s="126">
        <f>'S&amp;P 500 &amp; Raw Data'!J48</f>
        <v>0.11409093579389698</v>
      </c>
      <c r="G47" s="126">
        <f>'Home Prices'!B48/'Home Prices'!B47-1</f>
        <v>2.9757243539545897E-2</v>
      </c>
      <c r="H47" s="126">
        <f>'Gold Prices'!B47/'Gold Prices'!B46-1</f>
        <v>0.48784961027051832</v>
      </c>
      <c r="I47" s="19">
        <f>B47-D47</f>
        <v>0.14693522915074925</v>
      </c>
      <c r="J47" s="19">
        <f>B47-E47</f>
        <v>0.15936913864629956</v>
      </c>
      <c r="K47" s="23">
        <f>Table1[[#This Row],[US Small cap (bottom decile)]]-Table1[[#This Row],[S&amp;P 500 (includes dividends)]]</f>
        <v>-0.18595362915074926</v>
      </c>
      <c r="L47" s="23">
        <f>B47-F47</f>
        <v>7.3462693356852266E-2</v>
      </c>
    </row>
    <row r="48" spans="1:12" ht="16.149999999999999">
      <c r="A48" s="125">
        <v>1973</v>
      </c>
      <c r="B48" s="126">
        <f>('S&amp;P 500 &amp; Raw Data'!B49-'S&amp;P 500 &amp; Raw Data'!B48+'S&amp;P 500 &amp; Raw Data'!C49)/'S&amp;P 500 &amp; Raw Data'!B48</f>
        <v>-0.14308047437526472</v>
      </c>
      <c r="C48" s="126">
        <f>'Small Cap'!B47</f>
        <v>-0.38799999999999996</v>
      </c>
      <c r="D48" s="126">
        <f>'T. Bill rates'!C51</f>
        <v>7.0354435483870964E-2</v>
      </c>
      <c r="E48" s="126">
        <f>'S&amp;P 500 &amp; Raw Data'!F49</f>
        <v>3.6586646024150085E-2</v>
      </c>
      <c r="F48" s="126">
        <f>'S&amp;P 500 &amp; Raw Data'!J49</f>
        <v>4.3180404854323576E-2</v>
      </c>
      <c r="G48" s="126">
        <f>'Home Prices'!B49/'Home Prices'!B48-1</f>
        <v>3.4220532319391594E-2</v>
      </c>
      <c r="H48" s="126">
        <f>'Gold Prices'!B48/'Gold Prices'!B47-1</f>
        <v>0.72958397534668706</v>
      </c>
      <c r="I48" s="19">
        <f>B48-D48</f>
        <v>-0.21343490985913569</v>
      </c>
      <c r="J48" s="19">
        <f>B48-E48</f>
        <v>-0.17966712039941479</v>
      </c>
      <c r="K48" s="23">
        <f>Table1[[#This Row],[US Small cap (bottom decile)]]-Table1[[#This Row],[S&amp;P 500 (includes dividends)]]</f>
        <v>-0.24491952562473523</v>
      </c>
      <c r="L48" s="23">
        <f>B48-F48</f>
        <v>-0.18626087922958828</v>
      </c>
    </row>
    <row r="49" spans="1:12" ht="16.149999999999999">
      <c r="A49" s="125">
        <v>1974</v>
      </c>
      <c r="B49" s="126">
        <f>('S&amp;P 500 &amp; Raw Data'!B50-'S&amp;P 500 &amp; Raw Data'!B49+'S&amp;P 500 &amp; Raw Data'!C50)/'S&amp;P 500 &amp; Raw Data'!B49</f>
        <v>-0.25901785750896972</v>
      </c>
      <c r="C49" s="126">
        <f>'Small Cap'!B48</f>
        <v>-0.26899999999999996</v>
      </c>
      <c r="D49" s="126">
        <f>'T. Bill rates'!C52</f>
        <v>7.8457831325301208E-2</v>
      </c>
      <c r="E49" s="126">
        <f>'S&amp;P 500 &amp; Raw Data'!F50</f>
        <v>1.9886086932378574E-2</v>
      </c>
      <c r="F49" s="126">
        <f>'S&amp;P 500 &amp; Raw Data'!J50</f>
        <v>-4.3807197977191667E-2</v>
      </c>
      <c r="G49" s="126">
        <f>'Home Prices'!B50/'Home Prices'!B49-1</f>
        <v>0.10073529411764692</v>
      </c>
      <c r="H49" s="126">
        <f>'Gold Prices'!B49/'Gold Prices'!B48-1</f>
        <v>0.66146993318485525</v>
      </c>
      <c r="I49" s="19">
        <f>B49-D49</f>
        <v>-0.33747568883427093</v>
      </c>
      <c r="J49" s="19">
        <f>B49-E49</f>
        <v>-0.27890394444134831</v>
      </c>
      <c r="K49" s="23">
        <f>Table1[[#This Row],[US Small cap (bottom decile)]]-Table1[[#This Row],[S&amp;P 500 (includes dividends)]]</f>
        <v>-9.9821424910302436E-3</v>
      </c>
      <c r="L49" s="23">
        <f>B49-F49</f>
        <v>-0.21521065953177804</v>
      </c>
    </row>
    <row r="50" spans="1:12" ht="16.149999999999999">
      <c r="A50" s="125">
        <v>1975</v>
      </c>
      <c r="B50" s="126">
        <f>('S&amp;P 500 &amp; Raw Data'!B51-'S&amp;P 500 &amp; Raw Data'!B50+'S&amp;P 500 &amp; Raw Data'!C51)/'S&amp;P 500 &amp; Raw Data'!B50</f>
        <v>0.36995137106184356</v>
      </c>
      <c r="C50" s="126">
        <f>'Small Cap'!B49</f>
        <v>0.5968</v>
      </c>
      <c r="D50" s="126">
        <f>'T. Bill rates'!C53</f>
        <v>5.7863855421686747E-2</v>
      </c>
      <c r="E50" s="126">
        <f>'S&amp;P 500 &amp; Raw Data'!F51</f>
        <v>3.6052536026033838E-2</v>
      </c>
      <c r="F50" s="126">
        <f>'S&amp;P 500 &amp; Raw Data'!J51</f>
        <v>0.11049964074144952</v>
      </c>
      <c r="G50" s="126">
        <f>'Home Prices'!B51/'Home Prices'!B50-1</f>
        <v>6.7737093749264288E-2</v>
      </c>
      <c r="H50" s="126">
        <f>'Gold Prices'!B50/'Gold Prices'!B49-1</f>
        <v>-0.24798927613941024</v>
      </c>
      <c r="I50" s="19">
        <f>B50-D50</f>
        <v>0.3120875156401568</v>
      </c>
      <c r="J50" s="19">
        <f>B50-E50</f>
        <v>0.33389883503580975</v>
      </c>
      <c r="K50" s="23">
        <f>Table1[[#This Row],[US Small cap (bottom decile)]]-Table1[[#This Row],[S&amp;P 500 (includes dividends)]]</f>
        <v>0.22684862893815644</v>
      </c>
      <c r="L50" s="23">
        <f>B50-F50</f>
        <v>0.25945173032039404</v>
      </c>
    </row>
    <row r="51" spans="1:12" ht="16.149999999999999">
      <c r="A51" s="125">
        <v>1976</v>
      </c>
      <c r="B51" s="126">
        <f>('S&amp;P 500 &amp; Raw Data'!B52-'S&amp;P 500 &amp; Raw Data'!B51+'S&amp;P 500 &amp; Raw Data'!C52)/'S&amp;P 500 &amp; Raw Data'!B51</f>
        <v>0.23830999002106662</v>
      </c>
      <c r="C51" s="126">
        <f>'Small Cap'!B50</f>
        <v>0.48619999999999997</v>
      </c>
      <c r="D51" s="126">
        <f>'T. Bill rates'!C54</f>
        <v>4.9766000000000005E-2</v>
      </c>
      <c r="E51" s="126">
        <f>'S&amp;P 500 &amp; Raw Data'!F52</f>
        <v>0.1598456074290921</v>
      </c>
      <c r="F51" s="126">
        <f>'S&amp;P 500 &amp; Raw Data'!J52</f>
        <v>0.19752813987098014</v>
      </c>
      <c r="G51" s="126">
        <f>'Home Prices'!B52/'Home Prices'!B51-1</f>
        <v>8.1778348568406711E-2</v>
      </c>
      <c r="H51" s="126">
        <f>'Gold Prices'!B51/'Gold Prices'!B50-1</f>
        <v>-4.099821746880572E-2</v>
      </c>
      <c r="I51" s="19">
        <f>B51-D51</f>
        <v>0.18854399002106662</v>
      </c>
      <c r="J51" s="19">
        <f>B51-E51</f>
        <v>7.8464382591974524E-2</v>
      </c>
      <c r="K51" s="23">
        <f>Table1[[#This Row],[US Small cap (bottom decile)]]-Table1[[#This Row],[S&amp;P 500 (includes dividends)]]</f>
        <v>0.24789000997893335</v>
      </c>
      <c r="L51" s="23">
        <f>B51-F51</f>
        <v>4.0781850150086479E-2</v>
      </c>
    </row>
    <row r="52" spans="1:12" ht="16.149999999999999">
      <c r="A52" s="125">
        <v>1977</v>
      </c>
      <c r="B52" s="126">
        <f>('S&amp;P 500 &amp; Raw Data'!B53-'S&amp;P 500 &amp; Raw Data'!B52+'S&amp;P 500 &amp; Raw Data'!C53)/'S&amp;P 500 &amp; Raw Data'!B52</f>
        <v>-6.9797040759352322E-2</v>
      </c>
      <c r="C52" s="126">
        <f>'Small Cap'!B51</f>
        <v>0.3029</v>
      </c>
      <c r="D52" s="126">
        <f>'T. Bill rates'!C55</f>
        <v>5.2609638554216867E-2</v>
      </c>
      <c r="E52" s="126">
        <f>'S&amp;P 500 &amp; Raw Data'!F53</f>
        <v>1.2899606071070449E-2</v>
      </c>
      <c r="F52" s="126">
        <f>'S&amp;P 500 &amp; Raw Data'!J53</f>
        <v>9.9546628520906386E-2</v>
      </c>
      <c r="G52" s="126">
        <f>'Home Prices'!B53/'Home Prices'!B52-1</f>
        <v>0.14654841300324728</v>
      </c>
      <c r="H52" s="126">
        <f>'Gold Prices'!B52/'Gold Prices'!B51-1</f>
        <v>0.2263940520446095</v>
      </c>
      <c r="I52" s="19">
        <f>B52-D52</f>
        <v>-0.12240667931356919</v>
      </c>
      <c r="J52" s="19">
        <f>B52-E52</f>
        <v>-8.2696646830422771E-2</v>
      </c>
      <c r="K52" s="23">
        <f>Table1[[#This Row],[US Small cap (bottom decile)]]-Table1[[#This Row],[S&amp;P 500 (includes dividends)]]</f>
        <v>0.37269704075935234</v>
      </c>
      <c r="L52" s="23">
        <f>B52-F52</f>
        <v>-0.16934366928025871</v>
      </c>
    </row>
    <row r="53" spans="1:12" ht="16.149999999999999">
      <c r="A53" s="125">
        <v>1978</v>
      </c>
      <c r="B53" s="126">
        <f>('S&amp;P 500 &amp; Raw Data'!B54-'S&amp;P 500 &amp; Raw Data'!B53+'S&amp;P 500 &amp; Raw Data'!C54)/'S&amp;P 500 &amp; Raw Data'!B53</f>
        <v>6.50928391167193E-2</v>
      </c>
      <c r="C53" s="126">
        <f>'Small Cap'!B52</f>
        <v>0.28889999999999999</v>
      </c>
      <c r="D53" s="126">
        <f>'T. Bill rates'!C56</f>
        <v>7.1783064516129036E-2</v>
      </c>
      <c r="E53" s="126">
        <f>'S&amp;P 500 &amp; Raw Data'!F54</f>
        <v>-7.7758069075086478E-3</v>
      </c>
      <c r="F53" s="126">
        <f>'S&amp;P 500 &amp; Raw Data'!J54</f>
        <v>3.1375849771690861E-2</v>
      </c>
      <c r="G53" s="126">
        <f>'Home Prices'!B54/'Home Prices'!B53-1</f>
        <v>0.15723596053112443</v>
      </c>
      <c r="H53" s="126">
        <f>'Gold Prices'!B53/'Gold Prices'!B52-1</f>
        <v>0.37011215519854512</v>
      </c>
      <c r="I53" s="19">
        <f>B53-D53</f>
        <v>-6.6902253994097355E-3</v>
      </c>
      <c r="J53" s="19">
        <f>B53-E53</f>
        <v>7.2868646024227948E-2</v>
      </c>
      <c r="K53" s="23">
        <f>Table1[[#This Row],[US Small cap (bottom decile)]]-Table1[[#This Row],[S&amp;P 500 (includes dividends)]]</f>
        <v>0.22380716088328068</v>
      </c>
      <c r="L53" s="23">
        <f>B53-F53</f>
        <v>3.3716989345028439E-2</v>
      </c>
    </row>
    <row r="54" spans="1:12" ht="16.149999999999999">
      <c r="A54" s="125">
        <v>1979</v>
      </c>
      <c r="B54" s="126">
        <f>('S&amp;P 500 &amp; Raw Data'!B55-'S&amp;P 500 &amp; Raw Data'!B54+'S&amp;P 500 &amp; Raw Data'!C55)/'S&amp;P 500 &amp; Raw Data'!B54</f>
        <v>0.18519490167516386</v>
      </c>
      <c r="C54" s="126">
        <f>'Small Cap'!B53</f>
        <v>0.41689999999999999</v>
      </c>
      <c r="D54" s="126">
        <f>'T. Bill rates'!C57</f>
        <v>0.10054274193548388</v>
      </c>
      <c r="E54" s="126">
        <f>'S&amp;P 500 &amp; Raw Data'!F55</f>
        <v>6.7072031247235459E-3</v>
      </c>
      <c r="F54" s="126">
        <f>'S&amp;P 500 &amp; Raw Data'!J55</f>
        <v>-2.0091101436615355E-2</v>
      </c>
      <c r="G54" s="126">
        <f>'Home Prices'!B55/'Home Prices'!B54-1</f>
        <v>0.13742466907023854</v>
      </c>
      <c r="H54" s="126">
        <f>'Gold Prices'!B54/'Gold Prices'!B53-1</f>
        <v>1.2654867256637168</v>
      </c>
      <c r="I54" s="19">
        <f>B54-D54</f>
        <v>8.4652159739679989E-2</v>
      </c>
      <c r="J54" s="19">
        <f>B54-E54</f>
        <v>0.17848769855044033</v>
      </c>
      <c r="K54" s="23">
        <f>Table1[[#This Row],[US Small cap (bottom decile)]]-Table1[[#This Row],[S&amp;P 500 (includes dividends)]]</f>
        <v>0.23170509832483613</v>
      </c>
      <c r="L54" s="23">
        <f>B54-F54</f>
        <v>0.20528600311177922</v>
      </c>
    </row>
    <row r="55" spans="1:12" ht="16.149999999999999">
      <c r="A55" s="125">
        <v>1980</v>
      </c>
      <c r="B55" s="126">
        <f>('S&amp;P 500 &amp; Raw Data'!B56-'S&amp;P 500 &amp; Raw Data'!B55+'S&amp;P 500 &amp; Raw Data'!C56)/'S&amp;P 500 &amp; Raw Data'!B55</f>
        <v>0.3173524550676301</v>
      </c>
      <c r="C55" s="126">
        <f>'Small Cap'!B54</f>
        <v>0.41920000000000002</v>
      </c>
      <c r="D55" s="126">
        <f>'T. Bill rates'!C58</f>
        <v>0.1139188</v>
      </c>
      <c r="E55" s="126">
        <f>'S&amp;P 500 &amp; Raw Data'!F56</f>
        <v>-2.989744251999403E-2</v>
      </c>
      <c r="F55" s="126">
        <f>'S&amp;P 500 &amp; Raw Data'!J56</f>
        <v>-3.3156783371910456E-2</v>
      </c>
      <c r="G55" s="126">
        <f>'Home Prices'!B56/'Home Prices'!B55-1</f>
        <v>7.3968672635987165E-2</v>
      </c>
      <c r="H55" s="126">
        <f>'Gold Prices'!B55/'Gold Prices'!B54-1</f>
        <v>0.15185546875</v>
      </c>
      <c r="I55" s="19">
        <f>B55-D55</f>
        <v>0.20343365506763011</v>
      </c>
      <c r="J55" s="19">
        <f>B55-E55</f>
        <v>0.34724989758762415</v>
      </c>
      <c r="K55" s="23">
        <f>Table1[[#This Row],[US Small cap (bottom decile)]]-Table1[[#This Row],[S&amp;P 500 (includes dividends)]]</f>
        <v>0.10184754493236992</v>
      </c>
      <c r="L55" s="23">
        <f>B55-F55</f>
        <v>0.35050923843954057</v>
      </c>
    </row>
    <row r="56" spans="1:12" ht="16.149999999999999">
      <c r="A56" s="125">
        <v>1981</v>
      </c>
      <c r="B56" s="126">
        <f>('S&amp;P 500 &amp; Raw Data'!B57-'S&amp;P 500 &amp; Raw Data'!B56+'S&amp;P 500 &amp; Raw Data'!C57)/'S&amp;P 500 &amp; Raw Data'!B56</f>
        <v>-4.7023902474955762E-2</v>
      </c>
      <c r="C56" s="126">
        <f>'Small Cap'!B55</f>
        <v>-4.2900000000000001E-2</v>
      </c>
      <c r="D56" s="126">
        <f>'T. Bill rates'!C59</f>
        <v>0.14036184738955823</v>
      </c>
      <c r="E56" s="126">
        <f>'S&amp;P 500 &amp; Raw Data'!F57</f>
        <v>8.1992153358923542E-2</v>
      </c>
      <c r="F56" s="126">
        <f>'S&amp;P 500 &amp; Raw Data'!J57</f>
        <v>8.4623994808912056E-2</v>
      </c>
      <c r="G56" s="126">
        <f>'Home Prices'!B57/'Home Prices'!B56-1</f>
        <v>5.0950062475763724E-2</v>
      </c>
      <c r="H56" s="126">
        <f>'Gold Prices'!B56/'Gold Prices'!B55-1</f>
        <v>-0.32598558711318359</v>
      </c>
      <c r="I56" s="19">
        <f>B56-D56</f>
        <v>-0.18738574986451401</v>
      </c>
      <c r="J56" s="19">
        <f>B56-E56</f>
        <v>-0.12901605583387932</v>
      </c>
      <c r="K56" s="23">
        <f>Table1[[#This Row],[US Small cap (bottom decile)]]-Table1[[#This Row],[S&amp;P 500 (includes dividends)]]</f>
        <v>4.123902474955761E-3</v>
      </c>
      <c r="L56" s="23">
        <f>B56-F56</f>
        <v>-0.13164789728386783</v>
      </c>
    </row>
    <row r="57" spans="1:12" ht="16.149999999999999">
      <c r="A57" s="125">
        <v>1982</v>
      </c>
      <c r="B57" s="126">
        <f>('S&amp;P 500 &amp; Raw Data'!B58-'S&amp;P 500 &amp; Raw Data'!B57+'S&amp;P 500 &amp; Raw Data'!C58)/'S&amp;P 500 &amp; Raw Data'!B57</f>
        <v>0.20419055079559353</v>
      </c>
      <c r="C57" s="126">
        <f>'Small Cap'!B56</f>
        <v>0.26850000000000002</v>
      </c>
      <c r="D57" s="126">
        <f>'T. Bill rates'!C60</f>
        <v>0.1109</v>
      </c>
      <c r="E57" s="126">
        <f>'S&amp;P 500 &amp; Raw Data'!F58</f>
        <v>0.32814549486295586</v>
      </c>
      <c r="F57" s="126">
        <f>'S&amp;P 500 &amp; Raw Data'!J58</f>
        <v>0.2905245565590866</v>
      </c>
      <c r="G57" s="126">
        <f>'Home Prices'!B58/'Home Prices'!B57-1</f>
        <v>5.6372096837011831E-3</v>
      </c>
      <c r="H57" s="126">
        <f>'Gold Prices'!B57/'Gold Prices'!B56-1</f>
        <v>0.15622641509433977</v>
      </c>
      <c r="I57" s="19">
        <f>B57-D57</f>
        <v>9.3290550795593535E-2</v>
      </c>
      <c r="J57" s="19">
        <f>B57-E57</f>
        <v>-0.12395494406736232</v>
      </c>
      <c r="K57" s="23">
        <f>Table1[[#This Row],[US Small cap (bottom decile)]]-Table1[[#This Row],[S&amp;P 500 (includes dividends)]]</f>
        <v>6.4309449204406482E-2</v>
      </c>
      <c r="L57" s="23">
        <f>B57-F57</f>
        <v>-8.6334005763493066E-2</v>
      </c>
    </row>
    <row r="58" spans="1:12" ht="16.149999999999999">
      <c r="A58" s="125">
        <v>1983</v>
      </c>
      <c r="B58" s="126">
        <f>('S&amp;P 500 &amp; Raw Data'!B59-'S&amp;P 500 &amp; Raw Data'!B58+'S&amp;P 500 &amp; Raw Data'!C59)/'S&amp;P 500 &amp; Raw Data'!B58</f>
        <v>0.22337155858930619</v>
      </c>
      <c r="C58" s="126">
        <f>'Small Cap'!B57</f>
        <v>0.34860000000000002</v>
      </c>
      <c r="D58" s="126">
        <f>'T. Bill rates'!C61</f>
        <v>8.9499999999999996E-2</v>
      </c>
      <c r="E58" s="126">
        <f>'S&amp;P 500 &amp; Raw Data'!F59</f>
        <v>3.2002094451429264E-2</v>
      </c>
      <c r="F58" s="126">
        <f>'S&amp;P 500 &amp; Raw Data'!J59</f>
        <v>0.16194289622798344</v>
      </c>
      <c r="G58" s="126">
        <f>'Home Prices'!B59/'Home Prices'!B58-1</f>
        <v>4.7494802071017972E-2</v>
      </c>
      <c r="H58" s="126">
        <f>'Gold Prices'!B58/'Gold Prices'!B57-1</f>
        <v>-0.16797214969538743</v>
      </c>
      <c r="I58" s="19">
        <f>B58-D58</f>
        <v>0.13387155858930619</v>
      </c>
      <c r="J58" s="19">
        <f>B58-E58</f>
        <v>0.19136946413787692</v>
      </c>
      <c r="K58" s="23">
        <f>Table1[[#This Row],[US Small cap (bottom decile)]]-Table1[[#This Row],[S&amp;P 500 (includes dividends)]]</f>
        <v>0.12522844141069384</v>
      </c>
      <c r="L58" s="23">
        <f>B58-F58</f>
        <v>6.1428662361322744E-2</v>
      </c>
    </row>
    <row r="59" spans="1:12" ht="16.149999999999999">
      <c r="A59" s="125">
        <v>1984</v>
      </c>
      <c r="B59" s="126">
        <f>('S&amp;P 500 &amp; Raw Data'!B60-'S&amp;P 500 &amp; Raw Data'!B59+'S&amp;P 500 &amp; Raw Data'!C60)/'S&amp;P 500 &amp; Raw Data'!B59</f>
        <v>6.14614199963621E-2</v>
      </c>
      <c r="C59" s="126">
        <f>'Small Cap'!B58</f>
        <v>-0.14499999999999999</v>
      </c>
      <c r="D59" s="126">
        <f>'T. Bill rates'!C62</f>
        <v>9.9199999999999997E-2</v>
      </c>
      <c r="E59" s="126">
        <f>'S&amp;P 500 &amp; Raw Data'!F60</f>
        <v>0.13733364344102345</v>
      </c>
      <c r="F59" s="126">
        <f>'S&amp;P 500 &amp; Raw Data'!J60</f>
        <v>0.15619207332454216</v>
      </c>
      <c r="G59" s="126">
        <f>'Home Prices'!B60/'Home Prices'!B59-1</f>
        <v>4.6781349731454869E-2</v>
      </c>
      <c r="H59" s="126">
        <f>'Gold Prices'!B59/'Gold Prices'!B58-1</f>
        <v>-0.193776150627615</v>
      </c>
      <c r="I59" s="19">
        <f>B59-D59</f>
        <v>-3.7738580003637896E-2</v>
      </c>
      <c r="J59" s="19">
        <f>B59-E59</f>
        <v>-7.5872223444661352E-2</v>
      </c>
      <c r="K59" s="23">
        <f>Table1[[#This Row],[US Small cap (bottom decile)]]-Table1[[#This Row],[S&amp;P 500 (includes dividends)]]</f>
        <v>-0.20646141999636208</v>
      </c>
      <c r="L59" s="23">
        <f>B59-F59</f>
        <v>-9.4730653328180064E-2</v>
      </c>
    </row>
    <row r="60" spans="1:12" ht="16.149999999999999">
      <c r="A60" s="125">
        <v>1985</v>
      </c>
      <c r="B60" s="126">
        <f>('S&amp;P 500 &amp; Raw Data'!B61-'S&amp;P 500 &amp; Raw Data'!B60+'S&amp;P 500 &amp; Raw Data'!C61)/'S&amp;P 500 &amp; Raw Data'!B60</f>
        <v>0.31235149485768948</v>
      </c>
      <c r="C60" s="126">
        <f>'Small Cap'!B59</f>
        <v>0.24510000000000001</v>
      </c>
      <c r="D60" s="126">
        <f>'T. Bill rates'!C63</f>
        <v>7.7199999999999991E-2</v>
      </c>
      <c r="E60" s="126">
        <f>'S&amp;P 500 &amp; Raw Data'!F61</f>
        <v>0.2571248821260641</v>
      </c>
      <c r="F60" s="126">
        <f>'S&amp;P 500 &amp; Raw Data'!J61</f>
        <v>0.23862641849916477</v>
      </c>
      <c r="G60" s="126">
        <f>'Home Prices'!B61/'Home Prices'!B60-1</f>
        <v>7.4713712076145189E-2</v>
      </c>
      <c r="H60" s="126">
        <f>'Gold Prices'!B60/'Gold Prices'!B59-1</f>
        <v>6.0006487187804103E-2</v>
      </c>
      <c r="I60" s="19">
        <f>B60-D60</f>
        <v>0.23515149485768949</v>
      </c>
      <c r="J60" s="19">
        <f>B60-E60</f>
        <v>5.522661273162538E-2</v>
      </c>
      <c r="K60" s="23">
        <f>Table1[[#This Row],[US Small cap (bottom decile)]]-Table1[[#This Row],[S&amp;P 500 (includes dividends)]]</f>
        <v>-6.725149485768947E-2</v>
      </c>
      <c r="L60" s="23">
        <f>B60-F60</f>
        <v>7.372507635852471E-2</v>
      </c>
    </row>
    <row r="61" spans="1:12" ht="16.149999999999999">
      <c r="A61" s="125">
        <v>1986</v>
      </c>
      <c r="B61" s="126">
        <f>('S&amp;P 500 &amp; Raw Data'!B62-'S&amp;P 500 &amp; Raw Data'!B61+'S&amp;P 500 &amp; Raw Data'!C62)/'S&amp;P 500 &amp; Raw Data'!B61</f>
        <v>0.18494578758046187</v>
      </c>
      <c r="C61" s="126">
        <f>'Small Cap'!B60</f>
        <v>2.0899999999999998E-2</v>
      </c>
      <c r="D61" s="126">
        <f>'T. Bill rates'!C64</f>
        <v>6.1500000000000006E-2</v>
      </c>
      <c r="E61" s="126">
        <f>'S&amp;P 500 &amp; Raw Data'!F62</f>
        <v>0.24284215141767618</v>
      </c>
      <c r="F61" s="126">
        <f>'S&amp;P 500 &amp; Raw Data'!J62</f>
        <v>0.2214614600547623</v>
      </c>
      <c r="G61" s="126">
        <f>'Home Prices'!B62/'Home Prices'!B61-1</f>
        <v>9.6123575098164826E-2</v>
      </c>
      <c r="H61" s="126">
        <f>'Gold Prices'!B61/'Gold Prices'!B60-1</f>
        <v>0.18956548347613222</v>
      </c>
      <c r="I61" s="19">
        <f>B61-D61</f>
        <v>0.12344578758046187</v>
      </c>
      <c r="J61" s="19">
        <f>B61-E61</f>
        <v>-5.7896363837214304E-2</v>
      </c>
      <c r="K61" s="23">
        <f>Table1[[#This Row],[US Small cap (bottom decile)]]-Table1[[#This Row],[S&amp;P 500 (includes dividends)]]</f>
        <v>-0.16404578758046187</v>
      </c>
      <c r="L61" s="23">
        <f>B61-F61</f>
        <v>-3.6515672474300431E-2</v>
      </c>
    </row>
    <row r="62" spans="1:12" ht="16.149999999999999">
      <c r="A62" s="125">
        <v>1987</v>
      </c>
      <c r="B62" s="126">
        <f>('S&amp;P 500 &amp; Raw Data'!B63-'S&amp;P 500 &amp; Raw Data'!B62+'S&amp;P 500 &amp; Raw Data'!C63)/'S&amp;P 500 &amp; Raw Data'!B62</f>
        <v>5.8127216418218712E-2</v>
      </c>
      <c r="C62" s="126">
        <f>'Small Cap'!B61</f>
        <v>-0.14000000000000001</v>
      </c>
      <c r="D62" s="126">
        <f>'T. Bill rates'!C65</f>
        <v>5.96E-2</v>
      </c>
      <c r="E62" s="126">
        <f>'S&amp;P 500 &amp; Raw Data'!F63</f>
        <v>-4.9605089379262279E-2</v>
      </c>
      <c r="F62" s="126">
        <f>'S&amp;P 500 &amp; Raw Data'!J63</f>
        <v>1.1171968043818023E-2</v>
      </c>
      <c r="G62" s="126">
        <f>'Home Prices'!B63/'Home Prices'!B62-1</f>
        <v>7.8493877035726189E-2</v>
      </c>
      <c r="H62" s="126">
        <f>'Gold Prices'!B62/'Gold Prices'!B61-1</f>
        <v>0.24527331189710622</v>
      </c>
      <c r="I62" s="19">
        <f>B62-D62</f>
        <v>-1.4727835817812882E-3</v>
      </c>
      <c r="J62" s="19">
        <f>B62-E62</f>
        <v>0.107732305797481</v>
      </c>
      <c r="K62" s="23">
        <f>Table1[[#This Row],[US Small cap (bottom decile)]]-Table1[[#This Row],[S&amp;P 500 (includes dividends)]]</f>
        <v>-0.19812721641821873</v>
      </c>
      <c r="L62" s="23">
        <f>B62-F62</f>
        <v>4.6955248374400689E-2</v>
      </c>
    </row>
    <row r="63" spans="1:12" ht="16.149999999999999">
      <c r="A63" s="125">
        <v>1988</v>
      </c>
      <c r="B63" s="126">
        <f>('S&amp;P 500 &amp; Raw Data'!B64-'S&amp;P 500 &amp; Raw Data'!B63+'S&amp;P 500 &amp; Raw Data'!C64)/'S&amp;P 500 &amp; Raw Data'!B63</f>
        <v>0.16537192812044688</v>
      </c>
      <c r="C63" s="126">
        <f>'Small Cap'!B62</f>
        <v>0.17149999999999999</v>
      </c>
      <c r="D63" s="126">
        <f>'T. Bill rates'!C66</f>
        <v>6.8900000000000003E-2</v>
      </c>
      <c r="E63" s="126">
        <f>'S&amp;P 500 &amp; Raw Data'!F64</f>
        <v>8.2235958434841674E-2</v>
      </c>
      <c r="F63" s="126">
        <f>'S&amp;P 500 &amp; Raw Data'!J64</f>
        <v>0.15681384703221346</v>
      </c>
      <c r="G63" s="126">
        <f>'Home Prices'!B64/'Home Prices'!B63-1</f>
        <v>7.221035380878682E-2</v>
      </c>
      <c r="H63" s="126">
        <f>'Gold Prices'!B63/'Gold Prices'!B62-1</f>
        <v>-0.15255112580045449</v>
      </c>
      <c r="I63" s="19">
        <f>B63-D63</f>
        <v>9.6471928120446873E-2</v>
      </c>
      <c r="J63" s="19">
        <f>B63-E63</f>
        <v>8.3135969685605202E-2</v>
      </c>
      <c r="K63" s="23">
        <f>Table1[[#This Row],[US Small cap (bottom decile)]]-Table1[[#This Row],[S&amp;P 500 (includes dividends)]]</f>
        <v>6.1280718795531097E-3</v>
      </c>
      <c r="L63" s="23">
        <f>B63-F63</f>
        <v>8.5580810882334157E-3</v>
      </c>
    </row>
    <row r="64" spans="1:12" ht="16.149999999999999">
      <c r="A64" s="125">
        <v>1989</v>
      </c>
      <c r="B64" s="126">
        <f>('S&amp;P 500 &amp; Raw Data'!B65-'S&amp;P 500 &amp; Raw Data'!B64+'S&amp;P 500 &amp; Raw Data'!C65)/'S&amp;P 500 &amp; Raw Data'!B64</f>
        <v>0.31475183638196724</v>
      </c>
      <c r="C64" s="126">
        <f>'Small Cap'!B63</f>
        <v>6.9599999999999995E-2</v>
      </c>
      <c r="D64" s="126">
        <f>'T. Bill rates'!C67</f>
        <v>8.3900000000000002E-2</v>
      </c>
      <c r="E64" s="126">
        <f>'S&amp;P 500 &amp; Raw Data'!F65</f>
        <v>0.17693647159446219</v>
      </c>
      <c r="F64" s="126">
        <f>'S&amp;P 500 &amp; Raw Data'!J65</f>
        <v>0.16312115752422615</v>
      </c>
      <c r="G64" s="126">
        <f>'Home Prices'!B65/'Home Prices'!B64-1</f>
        <v>4.3942847005199459E-2</v>
      </c>
      <c r="H64" s="126">
        <f>'Gold Prices'!B64/'Gold Prices'!B63-1</f>
        <v>-2.8397318708104802E-2</v>
      </c>
      <c r="I64" s="19">
        <f>B64-D64</f>
        <v>0.23085183638196724</v>
      </c>
      <c r="J64" s="19">
        <f>B64-E64</f>
        <v>0.13781536478750506</v>
      </c>
      <c r="K64" s="23">
        <f>Table1[[#This Row],[US Small cap (bottom decile)]]-Table1[[#This Row],[S&amp;P 500 (includes dividends)]]</f>
        <v>-0.24515183638196725</v>
      </c>
      <c r="L64" s="23">
        <f>B64-F64</f>
        <v>0.15163067885774109</v>
      </c>
    </row>
    <row r="65" spans="1:12" ht="16.149999999999999">
      <c r="A65" s="125">
        <v>1990</v>
      </c>
      <c r="B65" s="126">
        <f>('S&amp;P 500 &amp; Raw Data'!B66-'S&amp;P 500 &amp; Raw Data'!B65+'S&amp;P 500 &amp; Raw Data'!C66)/'S&amp;P 500 &amp; Raw Data'!B65</f>
        <v>-3.0644516129032118E-2</v>
      </c>
      <c r="C65" s="126">
        <f>'Small Cap'!B64</f>
        <v>-0.2777</v>
      </c>
      <c r="D65" s="126">
        <f>'T. Bill rates'!C68</f>
        <v>7.7499999999999999E-2</v>
      </c>
      <c r="E65" s="126">
        <f>'S&amp;P 500 &amp; Raw Data'!F66</f>
        <v>6.2353753335533363E-2</v>
      </c>
      <c r="F65" s="126">
        <f>'S&amp;P 500 &amp; Raw Data'!J66</f>
        <v>5.6477750205500804E-2</v>
      </c>
      <c r="G65" s="126">
        <f>'Home Prices'!B66/'Home Prices'!B65-1</f>
        <v>-6.8630142358537816E-3</v>
      </c>
      <c r="H65" s="126">
        <f>'Gold Prices'!B65/'Gold Prices'!B64-1</f>
        <v>-3.1108881083793394E-2</v>
      </c>
      <c r="I65" s="19">
        <f>B65-D65</f>
        <v>-0.10814451612903211</v>
      </c>
      <c r="J65" s="19">
        <f>B65-E65</f>
        <v>-9.2998269464565478E-2</v>
      </c>
      <c r="K65" s="23">
        <f>Table1[[#This Row],[US Small cap (bottom decile)]]-Table1[[#This Row],[S&amp;P 500 (includes dividends)]]</f>
        <v>-0.24705548387096787</v>
      </c>
      <c r="L65" s="23">
        <f>B65-F65</f>
        <v>-8.7122266334532919E-2</v>
      </c>
    </row>
    <row r="66" spans="1:12" ht="16.149999999999999">
      <c r="A66" s="125">
        <v>1991</v>
      </c>
      <c r="B66" s="126">
        <f>('S&amp;P 500 &amp; Raw Data'!B67-'S&amp;P 500 &amp; Raw Data'!B66+'S&amp;P 500 &amp; Raw Data'!C67)/'S&amp;P 500 &amp; Raw Data'!B66</f>
        <v>0.30234843134879757</v>
      </c>
      <c r="C66" s="126">
        <f>'Small Cap'!B65</f>
        <v>0.4607</v>
      </c>
      <c r="D66" s="126">
        <f>'T. Bill rates'!C69</f>
        <v>5.5399999999999998E-2</v>
      </c>
      <c r="E66" s="126">
        <f>'S&amp;P 500 &amp; Raw Data'!F67</f>
        <v>0.15004510019517303</v>
      </c>
      <c r="F66" s="126">
        <f>'S&amp;P 500 &amp; Raw Data'!J67</f>
        <v>0.16400049125760602</v>
      </c>
      <c r="G66" s="126">
        <f>'Home Prices'!B67/'Home Prices'!B66-1</f>
        <v>-1.6848312536197341E-3</v>
      </c>
      <c r="H66" s="126">
        <f>'Gold Prices'!B66/'Gold Prices'!B65-1</f>
        <v>-8.5577421025375466E-2</v>
      </c>
      <c r="I66" s="19">
        <f>B66-D66</f>
        <v>0.24694843134879757</v>
      </c>
      <c r="J66" s="19">
        <f>B66-E66</f>
        <v>0.15230333115362454</v>
      </c>
      <c r="K66" s="23">
        <f>Table1[[#This Row],[US Small cap (bottom decile)]]-Table1[[#This Row],[S&amp;P 500 (includes dividends)]]</f>
        <v>0.15835156865120242</v>
      </c>
      <c r="L66" s="23">
        <f>B66-F66</f>
        <v>0.13834794009119156</v>
      </c>
    </row>
    <row r="67" spans="1:12" ht="16.149999999999999">
      <c r="A67" s="125">
        <v>1992</v>
      </c>
      <c r="B67" s="126">
        <f>('S&amp;P 500 &amp; Raw Data'!B68-'S&amp;P 500 &amp; Raw Data'!B67+'S&amp;P 500 &amp; Raw Data'!C68)/'S&amp;P 500 &amp; Raw Data'!B67</f>
        <v>7.493727972380064E-2</v>
      </c>
      <c r="C67" s="126">
        <f>'Small Cap'!B66</f>
        <v>0.25340000000000001</v>
      </c>
      <c r="D67" s="126">
        <f>'T. Bill rates'!C70</f>
        <v>3.5099999999999999E-2</v>
      </c>
      <c r="E67" s="126">
        <f>'S&amp;P 500 &amp; Raw Data'!F68</f>
        <v>9.3616373162079422E-2</v>
      </c>
      <c r="F67" s="126">
        <f>'S&amp;P 500 &amp; Raw Data'!J68</f>
        <v>0.13682874000406886</v>
      </c>
      <c r="G67" s="126">
        <f>'Home Prices'!B68/'Home Prices'!B67-1</f>
        <v>8.1746743315227466E-3</v>
      </c>
      <c r="H67" s="126">
        <f>'Gold Prices'!B67/'Gold Prices'!B66-1</f>
        <v>-5.7341073198357684E-2</v>
      </c>
      <c r="I67" s="19">
        <f>B67-D67</f>
        <v>3.9837279723800641E-2</v>
      </c>
      <c r="J67" s="19">
        <f>B67-E67</f>
        <v>-1.8679093438278782E-2</v>
      </c>
      <c r="K67" s="23">
        <f>Table1[[#This Row],[US Small cap (bottom decile)]]-Table1[[#This Row],[S&amp;P 500 (includes dividends)]]</f>
        <v>0.17846272027619936</v>
      </c>
      <c r="L67" s="23">
        <f>B67-F67</f>
        <v>-6.1891460280268221E-2</v>
      </c>
    </row>
    <row r="68" spans="1:12" ht="16.149999999999999">
      <c r="A68" s="125">
        <v>1993</v>
      </c>
      <c r="B68" s="126">
        <f>('S&amp;P 500 &amp; Raw Data'!B69-'S&amp;P 500 &amp; Raw Data'!B68+'S&amp;P 500 &amp; Raw Data'!C69)/'S&amp;P 500 &amp; Raw Data'!B68</f>
        <v>9.96705147919488E-2</v>
      </c>
      <c r="C68" s="126">
        <f>'Small Cap'!B67</f>
        <v>0.25559999999999999</v>
      </c>
      <c r="D68" s="126">
        <f>'T. Bill rates'!C71</f>
        <v>3.0699999999999998E-2</v>
      </c>
      <c r="E68" s="126">
        <f>'S&amp;P 500 &amp; Raw Data'!F69</f>
        <v>0.14210957589263107</v>
      </c>
      <c r="F68" s="126">
        <f>'S&amp;P 500 &amp; Raw Data'!J69</f>
        <v>0.16444594316692779</v>
      </c>
      <c r="G68" s="126">
        <f>'Home Prices'!B69/'Home Prices'!B68-1</f>
        <v>2.15657041222026E-2</v>
      </c>
      <c r="H68" s="126">
        <f>'Gold Prices'!B68/'Gold Prices'!B67-1</f>
        <v>0.17677981375788532</v>
      </c>
      <c r="I68" s="19">
        <f>B68-D68</f>
        <v>6.8970514791948795E-2</v>
      </c>
      <c r="J68" s="19">
        <f>B68-E68</f>
        <v>-4.2439061100682268E-2</v>
      </c>
      <c r="K68" s="23">
        <f>Table1[[#This Row],[US Small cap (bottom decile)]]-Table1[[#This Row],[S&amp;P 500 (includes dividends)]]</f>
        <v>0.15592948520805119</v>
      </c>
      <c r="L68" s="23">
        <f>B68-F68</f>
        <v>-6.4775428374978988E-2</v>
      </c>
    </row>
    <row r="69" spans="1:12" ht="16.149999999999999">
      <c r="A69" s="125">
        <v>1994</v>
      </c>
      <c r="B69" s="126">
        <f>('S&amp;P 500 &amp; Raw Data'!B70-'S&amp;P 500 &amp; Raw Data'!B69+'S&amp;P 500 &amp; Raw Data'!C70)/'S&amp;P 500 &amp; Raw Data'!B69</f>
        <v>1.3259206774573897E-2</v>
      </c>
      <c r="C69" s="126">
        <f>'Small Cap'!B68</f>
        <v>-4.7599999999999996E-2</v>
      </c>
      <c r="D69" s="126">
        <f>'T. Bill rates'!C72</f>
        <v>4.3700000000000003E-2</v>
      </c>
      <c r="E69" s="126">
        <f>'S&amp;P 500 &amp; Raw Data'!F70</f>
        <v>-8.0366555509985921E-2</v>
      </c>
      <c r="F69" s="126">
        <f>'S&amp;P 500 &amp; Raw Data'!J70</f>
        <v>-1.2313818260180243E-2</v>
      </c>
      <c r="G69" s="126">
        <f>'Home Prices'!B70/'Home Prices'!B69-1</f>
        <v>2.515586394070124E-2</v>
      </c>
      <c r="H69" s="126">
        <f>'Gold Prices'!B69/'Gold Prices'!B68-1</f>
        <v>-2.1697511167836581E-2</v>
      </c>
      <c r="I69" s="19">
        <f>B69-D69</f>
        <v>-3.0440793225426106E-2</v>
      </c>
      <c r="J69" s="19">
        <f>B69-E69</f>
        <v>9.3625762284559821E-2</v>
      </c>
      <c r="K69" s="23">
        <f>Table1[[#This Row],[US Small cap (bottom decile)]]-Table1[[#This Row],[S&amp;P 500 (includes dividends)]]</f>
        <v>-6.085920677457389E-2</v>
      </c>
      <c r="L69" s="23">
        <f>B69-F69</f>
        <v>2.557302503475414E-2</v>
      </c>
    </row>
    <row r="70" spans="1:12" ht="16.149999999999999">
      <c r="A70" s="125">
        <v>1995</v>
      </c>
      <c r="B70" s="126">
        <f>('S&amp;P 500 &amp; Raw Data'!B71-'S&amp;P 500 &amp; Raw Data'!B70+'S&amp;P 500 &amp; Raw Data'!C71)/'S&amp;P 500 &amp; Raw Data'!B70</f>
        <v>0.37195198902606308</v>
      </c>
      <c r="C70" s="126">
        <f>'Small Cap'!B69</f>
        <v>0.32119999999999999</v>
      </c>
      <c r="D70" s="126">
        <f>'T. Bill rates'!C73</f>
        <v>5.6600000000000004E-2</v>
      </c>
      <c r="E70" s="126">
        <f>'S&amp;P 500 &amp; Raw Data'!F71</f>
        <v>0.23480780112538907</v>
      </c>
      <c r="F70" s="126">
        <f>'S&amp;P 500 &amp; Raw Data'!J71</f>
        <v>0.20087516571052572</v>
      </c>
      <c r="G70" s="126">
        <f>'Home Prices'!B71/'Home Prices'!B70-1</f>
        <v>1.7920027972726515E-2</v>
      </c>
      <c r="H70" s="126">
        <f>'Gold Prices'!B70/'Gold Prices'!B69-1</f>
        <v>9.7847358121330164E-3</v>
      </c>
      <c r="I70" s="19">
        <f>B70-D70</f>
        <v>0.3153519890260631</v>
      </c>
      <c r="J70" s="19">
        <f>B70-E70</f>
        <v>0.13714418790067401</v>
      </c>
      <c r="K70" s="23">
        <f>Table1[[#This Row],[US Small cap (bottom decile)]]-Table1[[#This Row],[S&amp;P 500 (includes dividends)]]</f>
        <v>-5.0751989026063093E-2</v>
      </c>
      <c r="L70" s="23">
        <f>B70-F70</f>
        <v>0.17107682331553736</v>
      </c>
    </row>
    <row r="71" spans="1:12" ht="16.149999999999999">
      <c r="A71" s="125">
        <v>1996</v>
      </c>
      <c r="B71" s="126">
        <f>('S&amp;P 500 &amp; Raw Data'!B72-'S&amp;P 500 &amp; Raw Data'!B71+'S&amp;P 500 &amp; Raw Data'!C72)/'S&amp;P 500 &amp; Raw Data'!B71</f>
        <v>0.22680966018865789</v>
      </c>
      <c r="C71" s="126">
        <f>'Small Cap'!B70</f>
        <v>0.1479</v>
      </c>
      <c r="D71" s="126">
        <f>'T. Bill rates'!C74</f>
        <v>5.1500000000000004E-2</v>
      </c>
      <c r="E71" s="126">
        <f>'S&amp;P 500 &amp; Raw Data'!F72</f>
        <v>1.428607793401844E-2</v>
      </c>
      <c r="F71" s="126">
        <f>'S&amp;P 500 &amp; Raw Data'!J72</f>
        <v>5.2796034940021663E-2</v>
      </c>
      <c r="G71" s="126">
        <f>'Home Prices'!B72/'Home Prices'!B71-1</f>
        <v>2.4253800007359549E-2</v>
      </c>
      <c r="H71" s="126">
        <f>'Gold Prices'!B71/'Gold Prices'!B70-1</f>
        <v>-4.5865633074935408E-2</v>
      </c>
      <c r="I71" s="19">
        <f>B71-D71</f>
        <v>0.1753096601886579</v>
      </c>
      <c r="J71" s="19">
        <f>B71-E71</f>
        <v>0.21252358225463946</v>
      </c>
      <c r="K71" s="23">
        <f>Table1[[#This Row],[US Small cap (bottom decile)]]-Table1[[#This Row],[S&amp;P 500 (includes dividends)]]</f>
        <v>-7.8909660188657887E-2</v>
      </c>
      <c r="L71" s="23">
        <f>B71-F71</f>
        <v>0.17401362524863623</v>
      </c>
    </row>
    <row r="72" spans="1:12" ht="16.149999999999999">
      <c r="A72" s="125">
        <v>1997</v>
      </c>
      <c r="B72" s="126">
        <f>('S&amp;P 500 &amp; Raw Data'!B73-'S&amp;P 500 &amp; Raw Data'!B72+'S&amp;P 500 &amp; Raw Data'!C73)/'S&amp;P 500 &amp; Raw Data'!B72</f>
        <v>0.33103653103653097</v>
      </c>
      <c r="C72" s="126">
        <f>'Small Cap'!B71</f>
        <v>0.22059999999999999</v>
      </c>
      <c r="D72" s="126">
        <f>'T. Bill rates'!C75</f>
        <v>5.2000000000000005E-2</v>
      </c>
      <c r="E72" s="126">
        <f>'S&amp;P 500 &amp; Raw Data'!F73</f>
        <v>9.939130272977531E-2</v>
      </c>
      <c r="F72" s="126">
        <f>'S&amp;P 500 &amp; Raw Data'!J73</f>
        <v>0.11297255528327496</v>
      </c>
      <c r="G72" s="126">
        <f>'Home Prices'!B73/'Home Prices'!B72-1</f>
        <v>4.0220385674931247E-2</v>
      </c>
      <c r="H72" s="126">
        <f>'Gold Prices'!B72/'Gold Prices'!B71-1</f>
        <v>-0.21408259986459044</v>
      </c>
      <c r="I72" s="19">
        <f>B72-D72</f>
        <v>0.27903653103653098</v>
      </c>
      <c r="J72" s="19">
        <f>B72-E72</f>
        <v>0.23164522830675566</v>
      </c>
      <c r="K72" s="23">
        <f>Table1[[#This Row],[US Small cap (bottom decile)]]-Table1[[#This Row],[S&amp;P 500 (includes dividends)]]</f>
        <v>-0.11043653103653098</v>
      </c>
      <c r="L72" s="23">
        <f>B72-F72</f>
        <v>0.21806397575325601</v>
      </c>
    </row>
    <row r="73" spans="1:12" ht="16.149999999999999">
      <c r="A73" s="125">
        <v>1998</v>
      </c>
      <c r="B73" s="126">
        <f>('S&amp;P 500 &amp; Raw Data'!B74-'S&amp;P 500 &amp; Raw Data'!B73+'S&amp;P 500 &amp; Raw Data'!C74)/'S&amp;P 500 &amp; Raw Data'!B73</f>
        <v>0.28337953278443584</v>
      </c>
      <c r="C73" s="126">
        <f>'Small Cap'!B72</f>
        <v>-0.13470000000000001</v>
      </c>
      <c r="D73" s="126">
        <f>'T. Bill rates'!C76</f>
        <v>4.9100000000000005E-2</v>
      </c>
      <c r="E73" s="126">
        <f>'S&amp;P 500 &amp; Raw Data'!F74</f>
        <v>0.14921431922606215</v>
      </c>
      <c r="F73" s="126">
        <f>'S&amp;P 500 &amp; Raw Data'!J74</f>
        <v>8.1044463844197473E-2</v>
      </c>
      <c r="G73" s="126">
        <f>'Home Prices'!B74/'Home Prices'!B73-1</f>
        <v>6.4422899778924236E-2</v>
      </c>
      <c r="H73" s="126">
        <f>'Gold Prices'!B73/'Gold Prices'!B72-1</f>
        <v>-8.2701585113713616E-3</v>
      </c>
      <c r="I73" s="19">
        <f>B73-D73</f>
        <v>0.23427953278443583</v>
      </c>
      <c r="J73" s="19">
        <f>B73-E73</f>
        <v>0.13416521355837369</v>
      </c>
      <c r="K73" s="23">
        <f>Table1[[#This Row],[US Small cap (bottom decile)]]-Table1[[#This Row],[S&amp;P 500 (includes dividends)]]</f>
        <v>-0.41807953278443588</v>
      </c>
      <c r="L73" s="23">
        <f>B73-F73</f>
        <v>0.20233506894023837</v>
      </c>
    </row>
    <row r="74" spans="1:12" ht="16.149999999999999">
      <c r="A74" s="125">
        <v>1999</v>
      </c>
      <c r="B74" s="126">
        <f>('S&amp;P 500 &amp; Raw Data'!B75-'S&amp;P 500 &amp; Raw Data'!B74+'S&amp;P 500 &amp; Raw Data'!C75)/'S&amp;P 500 &amp; Raw Data'!B74</f>
        <v>0.20885350992084475</v>
      </c>
      <c r="C74" s="126">
        <f>'Small Cap'!B73</f>
        <v>0.37709999999999999</v>
      </c>
      <c r="D74" s="126">
        <f>'T. Bill rates'!C77</f>
        <v>4.7800000000000002E-2</v>
      </c>
      <c r="E74" s="126">
        <f>'S&amp;P 500 &amp; Raw Data'!F75</f>
        <v>-8.2542147962685761E-2</v>
      </c>
      <c r="F74" s="126">
        <f>'S&amp;P 500 &amp; Raw Data'!J75</f>
        <v>9.7060334129739079E-3</v>
      </c>
      <c r="G74" s="126">
        <f>'Home Prices'!B75/'Home Prices'!B74-1</f>
        <v>7.6793267202493576E-2</v>
      </c>
      <c r="H74" s="126">
        <f>'Gold Prices'!B74/'Gold Prices'!B73-1</f>
        <v>8.5128561501042199E-3</v>
      </c>
      <c r="I74" s="19">
        <f>B74-D74</f>
        <v>0.16105350992084475</v>
      </c>
      <c r="J74" s="19">
        <f>B74-E74</f>
        <v>0.2913956578835305</v>
      </c>
      <c r="K74" s="23">
        <f>Table1[[#This Row],[US Small cap (bottom decile)]]-Table1[[#This Row],[S&amp;P 500 (includes dividends)]]</f>
        <v>0.16824649007915524</v>
      </c>
      <c r="L74" s="23">
        <f>B74-F74</f>
        <v>0.19914747650787085</v>
      </c>
    </row>
    <row r="75" spans="1:12" ht="16.149999999999999">
      <c r="A75" s="125">
        <v>2000</v>
      </c>
      <c r="B75" s="126">
        <f>('S&amp;P 500 &amp; Raw Data'!B76-'S&amp;P 500 &amp; Raw Data'!B75+'S&amp;P 500 &amp; Raw Data'!C76)/'S&amp;P 500 &amp; Raw Data'!B75</f>
        <v>-9.0318189552492781E-2</v>
      </c>
      <c r="C75" s="126">
        <f>'Small Cap'!B74</f>
        <v>-9.1300000000000006E-2</v>
      </c>
      <c r="D75" s="126">
        <f>'T. Bill rates'!C78</f>
        <v>0.06</v>
      </c>
      <c r="E75" s="126">
        <f>'S&amp;P 500 &amp; Raw Data'!F76</f>
        <v>0.16655267125397488</v>
      </c>
      <c r="F75" s="126">
        <f>'S&amp;P 500 &amp; Raw Data'!J76</f>
        <v>9.3783596232947297E-2</v>
      </c>
      <c r="G75" s="126">
        <f>'Home Prices'!B76/'Home Prices'!B75-1</f>
        <v>9.2925599244539914E-2</v>
      </c>
      <c r="H75" s="126">
        <f>'Gold Prices'!B75/'Gold Prices'!B74-1</f>
        <v>-5.4435831180017269E-2</v>
      </c>
      <c r="I75" s="19">
        <f>B75-D75</f>
        <v>-0.15031818955249276</v>
      </c>
      <c r="J75" s="19">
        <f>B75-E75</f>
        <v>-0.25687086080646765</v>
      </c>
      <c r="K75" s="23">
        <f>Table1[[#This Row],[US Small cap (bottom decile)]]-Table1[[#This Row],[S&amp;P 500 (includes dividends)]]</f>
        <v>-9.8181044750722535E-4</v>
      </c>
      <c r="L75" s="23">
        <f>B75-F75</f>
        <v>-0.18410178578544006</v>
      </c>
    </row>
    <row r="76" spans="1:12" ht="16.149999999999999">
      <c r="A76" s="125">
        <v>2001</v>
      </c>
      <c r="B76" s="126">
        <f>('S&amp;P 500 &amp; Raw Data'!B77-'S&amp;P 500 &amp; Raw Data'!B76+'S&amp;P 500 &amp; Raw Data'!C77)/'S&amp;P 500 &amp; Raw Data'!B76</f>
        <v>-0.11849759142000185</v>
      </c>
      <c r="C76" s="126">
        <f>'Small Cap'!B75</f>
        <v>0.32140000000000002</v>
      </c>
      <c r="D76" s="126">
        <f>'T. Bill rates'!C79</f>
        <v>3.4799999999999998E-2</v>
      </c>
      <c r="E76" s="126">
        <f>'S&amp;P 500 &amp; Raw Data'!F77</f>
        <v>5.5721811892492555E-2</v>
      </c>
      <c r="F76" s="126">
        <f>'S&amp;P 500 &amp; Raw Data'!J77</f>
        <v>8.5966407402972594E-2</v>
      </c>
      <c r="G76" s="126">
        <f>'Home Prices'!B77/'Home Prices'!B76-1</f>
        <v>6.6760423560555893E-2</v>
      </c>
      <c r="H76" s="126">
        <f>'Gold Prices'!B76/'Gold Prices'!B75-1</f>
        <v>7.4694844233922364E-3</v>
      </c>
      <c r="I76" s="19">
        <f>B76-D76</f>
        <v>-0.15329759142000185</v>
      </c>
      <c r="J76" s="19">
        <f>B76-E76</f>
        <v>-0.17421940331249441</v>
      </c>
      <c r="K76" s="23">
        <f>Table1[[#This Row],[US Small cap (bottom decile)]]-Table1[[#This Row],[S&amp;P 500 (includes dividends)]]</f>
        <v>0.43989759142000184</v>
      </c>
      <c r="L76" s="23">
        <f>B76-F76</f>
        <v>-0.20446399882297445</v>
      </c>
    </row>
    <row r="77" spans="1:12" ht="16.149999999999999">
      <c r="A77" s="125">
        <v>2002</v>
      </c>
      <c r="B77" s="126">
        <f>('S&amp;P 500 &amp; Raw Data'!B78-'S&amp;P 500 &amp; Raw Data'!B77+'S&amp;P 500 &amp; Raw Data'!C78)/'S&amp;P 500 &amp; Raw Data'!B77</f>
        <v>-0.21966047957912699</v>
      </c>
      <c r="C77" s="126">
        <f>'Small Cap'!B76</f>
        <v>-3.61E-2</v>
      </c>
      <c r="D77" s="126">
        <f>'T. Bill rates'!C80</f>
        <v>1.6399999999999998E-2</v>
      </c>
      <c r="E77" s="126">
        <f>'S&amp;P 500 &amp; Raw Data'!F78</f>
        <v>0.15116400378109285</v>
      </c>
      <c r="F77" s="126">
        <f>'S&amp;P 500 &amp; Raw Data'!J78</f>
        <v>0.12056324507730691</v>
      </c>
      <c r="G77" s="126">
        <f>'Home Prices'!B78/'Home Prices'!B77-1</f>
        <v>9.5609840161983595E-2</v>
      </c>
      <c r="H77" s="126">
        <f>'Gold Prices'!B77/'Gold Prices'!B76-1</f>
        <v>0.2556962025316456</v>
      </c>
      <c r="I77" s="19">
        <f>B77-D77</f>
        <v>-0.23606047957912699</v>
      </c>
      <c r="J77" s="19">
        <f>B77-E77</f>
        <v>-0.37082448336021984</v>
      </c>
      <c r="K77" s="23">
        <f>Table1[[#This Row],[US Small cap (bottom decile)]]-Table1[[#This Row],[S&amp;P 500 (includes dividends)]]</f>
        <v>0.18356047957912699</v>
      </c>
      <c r="L77" s="23">
        <f>B77-F77</f>
        <v>-0.34022372465643391</v>
      </c>
    </row>
    <row r="78" spans="1:12" ht="16.149999999999999">
      <c r="A78" s="125">
        <v>2003</v>
      </c>
      <c r="B78" s="126">
        <f>('S&amp;P 500 &amp; Raw Data'!B79-'S&amp;P 500 &amp; Raw Data'!B78+'S&amp;P 500 &amp; Raw Data'!C79)/'S&amp;P 500 &amp; Raw Data'!B78</f>
        <v>0.28355800050010233</v>
      </c>
      <c r="C78" s="126">
        <f>'Small Cap'!B77</f>
        <v>0.9123</v>
      </c>
      <c r="D78" s="126">
        <f>'T. Bill rates'!C81</f>
        <v>1.03E-2</v>
      </c>
      <c r="E78" s="126">
        <f>'S&amp;P 500 &amp; Raw Data'!F79</f>
        <v>3.7531858817758529E-3</v>
      </c>
      <c r="F78" s="126">
        <f>'S&amp;P 500 &amp; Raw Data'!J79</f>
        <v>0.1238264134705485</v>
      </c>
      <c r="G78" s="126">
        <f>'Home Prices'!B79/'Home Prices'!B78-1</f>
        <v>9.8135287964704165E-2</v>
      </c>
      <c r="H78" s="126">
        <f>'Gold Prices'!B78/'Gold Prices'!B77-1</f>
        <v>0.1988767281105992</v>
      </c>
      <c r="I78" s="19">
        <f>B78-D78</f>
        <v>0.27325800050010235</v>
      </c>
      <c r="J78" s="19">
        <f>B78-E78</f>
        <v>0.27980481461832646</v>
      </c>
      <c r="K78" s="23">
        <f>Table1[[#This Row],[US Small cap (bottom decile)]]-Table1[[#This Row],[S&amp;P 500 (includes dividends)]]</f>
        <v>0.62874199949989773</v>
      </c>
      <c r="L78" s="23">
        <f>B78-F78</f>
        <v>0.15973158702955381</v>
      </c>
    </row>
    <row r="79" spans="1:12" ht="16.149999999999999">
      <c r="A79" s="125">
        <v>2004</v>
      </c>
      <c r="B79" s="126">
        <f>('S&amp;P 500 &amp; Raw Data'!B80-'S&amp;P 500 &amp; Raw Data'!B79+'S&amp;P 500 &amp; Raw Data'!C80)/'S&amp;P 500 &amp; Raw Data'!B79</f>
        <v>0.10742775944096193</v>
      </c>
      <c r="C79" s="126">
        <f>'Small Cap'!B78</f>
        <v>0.17300000000000001</v>
      </c>
      <c r="D79" s="126">
        <f>'T. Bill rates'!C82</f>
        <v>1.3999999999999999E-2</v>
      </c>
      <c r="E79" s="126">
        <f>'S&amp;P 500 &amp; Raw Data'!F80</f>
        <v>4.490683702274547E-2</v>
      </c>
      <c r="F79" s="126">
        <f>'S&amp;P 500 &amp; Raw Data'!J80</f>
        <v>0.1032945825904709</v>
      </c>
      <c r="G79" s="126">
        <f>'Home Prices'!B80/'Home Prices'!B79-1</f>
        <v>0.13638284310565951</v>
      </c>
      <c r="H79" s="126">
        <f>'Gold Prices'!B79/'Gold Prices'!B78-1</f>
        <v>4.6486486486486456E-2</v>
      </c>
      <c r="I79" s="19">
        <f>B79-D79</f>
        <v>9.3427759440961933E-2</v>
      </c>
      <c r="J79" s="19">
        <f>B79-E79</f>
        <v>6.2520922418216468E-2</v>
      </c>
      <c r="K79" s="23">
        <f>Table1[[#This Row],[US Small cap (bottom decile)]]-Table1[[#This Row],[S&amp;P 500 (includes dividends)]]</f>
        <v>6.5572240559038084E-2</v>
      </c>
      <c r="L79" s="23">
        <f>B79-F79</f>
        <v>4.1331768504910271E-3</v>
      </c>
    </row>
    <row r="80" spans="1:12" ht="16.149999999999999">
      <c r="A80" s="125">
        <v>2005</v>
      </c>
      <c r="B80" s="126">
        <f>('S&amp;P 500 &amp; Raw Data'!B81-'S&amp;P 500 &amp; Raw Data'!B80+'S&amp;P 500 &amp; Raw Data'!C81)/'S&amp;P 500 &amp; Raw Data'!B80</f>
        <v>4.8344775232688535E-2</v>
      </c>
      <c r="C80" s="126">
        <f>'Small Cap'!B79</f>
        <v>3.78E-2</v>
      </c>
      <c r="D80" s="126">
        <f>'T. Bill rates'!C83</f>
        <v>3.2199999999999999E-2</v>
      </c>
      <c r="E80" s="126">
        <f>'S&amp;P 500 &amp; Raw Data'!F81</f>
        <v>2.8675329597779506E-2</v>
      </c>
      <c r="F80" s="126">
        <f>'S&amp;P 500 &amp; Raw Data'!J81</f>
        <v>5.1326366805218779E-2</v>
      </c>
      <c r="G80" s="126">
        <f>'Home Prices'!B81/'Home Prices'!B80-1</f>
        <v>0.13509629928406475</v>
      </c>
      <c r="H80" s="126">
        <f>'Gold Prices'!B80/'Gold Prices'!B79-1</f>
        <v>0.1776859504132231</v>
      </c>
      <c r="I80" s="19">
        <f>B80-D80</f>
        <v>1.6144775232688535E-2</v>
      </c>
      <c r="J80" s="19">
        <f>B80-E80</f>
        <v>1.9669445634909029E-2</v>
      </c>
      <c r="K80" s="23">
        <f>Table1[[#This Row],[US Small cap (bottom decile)]]-Table1[[#This Row],[S&amp;P 500 (includes dividends)]]</f>
        <v>-1.0544775232688534E-2</v>
      </c>
      <c r="L80" s="23">
        <f>B80-F80</f>
        <v>-2.9815915725302441E-3</v>
      </c>
    </row>
    <row r="81" spans="1:12" ht="16.149999999999999">
      <c r="A81" s="125">
        <v>2006</v>
      </c>
      <c r="B81" s="126">
        <f>('S&amp;P 500 &amp; Raw Data'!B82-'S&amp;P 500 &amp; Raw Data'!B81+'S&amp;P 500 &amp; Raw Data'!C82)/'S&amp;P 500 &amp; Raw Data'!B81</f>
        <v>0.15612557979315703</v>
      </c>
      <c r="C81" s="126">
        <f>'Small Cap'!B80</f>
        <v>0.184</v>
      </c>
      <c r="D81" s="126">
        <f>'T. Bill rates'!C84</f>
        <v>4.8499999999999995E-2</v>
      </c>
      <c r="E81" s="126">
        <f>'S&amp;P 500 &amp; Raw Data'!F82</f>
        <v>1.9610012417568386E-2</v>
      </c>
      <c r="F81" s="126">
        <f>'S&amp;P 500 &amp; Raw Data'!J82</f>
        <v>5.2684144332519181E-2</v>
      </c>
      <c r="G81" s="126">
        <f>'Home Prices'!B82/'Home Prices'!B81-1</f>
        <v>1.7328491793812573E-2</v>
      </c>
      <c r="H81" s="126">
        <f>'Gold Prices'!B81/'Gold Prices'!B80-1</f>
        <v>0.23196881091617927</v>
      </c>
      <c r="I81" s="19">
        <f>B81-D81</f>
        <v>0.10762557979315704</v>
      </c>
      <c r="J81" s="19">
        <f>B81-E81</f>
        <v>0.13651556737558865</v>
      </c>
      <c r="K81" s="23">
        <f>Table1[[#This Row],[US Small cap (bottom decile)]]-Table1[[#This Row],[S&amp;P 500 (includes dividends)]]</f>
        <v>2.787442020684297E-2</v>
      </c>
      <c r="L81" s="23">
        <f>B81-F81</f>
        <v>0.10344143546063785</v>
      </c>
    </row>
    <row r="82" spans="1:12" ht="16.149999999999999">
      <c r="A82" s="125">
        <v>2007</v>
      </c>
      <c r="B82" s="126">
        <f>('S&amp;P 500 &amp; Raw Data'!B83-'S&amp;P 500 &amp; Raw Data'!B82+'S&amp;P 500 &amp; Raw Data'!C83)/'S&amp;P 500 &amp; Raw Data'!B82</f>
        <v>5.4847352464217694E-2</v>
      </c>
      <c r="C82" s="126">
        <f>'Small Cap'!B81</f>
        <v>-9.11E-2</v>
      </c>
      <c r="D82" s="126">
        <f>'T. Bill rates'!C85</f>
        <v>4.4800000000000006E-2</v>
      </c>
      <c r="E82" s="126">
        <f>'S&amp;P 500 &amp; Raw Data'!F83</f>
        <v>0.10209921930012807</v>
      </c>
      <c r="F82" s="126">
        <f>'S&amp;P 500 &amp; Raw Data'!J83</f>
        <v>4.9049214482201883E-2</v>
      </c>
      <c r="G82" s="126">
        <f>'Home Prices'!B83/'Home Prices'!B82-1</f>
        <v>-5.3992544848255553E-2</v>
      </c>
      <c r="H82" s="126">
        <f>'Gold Prices'!B82/'Gold Prices'!B81-1</f>
        <v>0.31922468354430378</v>
      </c>
      <c r="I82" s="19">
        <f>B82-D82</f>
        <v>1.0047352464217688E-2</v>
      </c>
      <c r="J82" s="19">
        <f>B82-E82</f>
        <v>-4.7251866835910372E-2</v>
      </c>
      <c r="K82" s="23">
        <f>Table1[[#This Row],[US Small cap (bottom decile)]]-Table1[[#This Row],[S&amp;P 500 (includes dividends)]]</f>
        <v>-0.14594735246421769</v>
      </c>
      <c r="L82" s="23">
        <f>B82-F82</f>
        <v>5.7981379820158108E-3</v>
      </c>
    </row>
    <row r="83" spans="1:12" ht="16.149999999999999">
      <c r="A83" s="125">
        <v>2008</v>
      </c>
      <c r="B83" s="126">
        <f>('S&amp;P 500 &amp; Raw Data'!B84-'S&amp;P 500 &amp; Raw Data'!B83+'S&amp;P 500 &amp; Raw Data'!C84)/'S&amp;P 500 &amp; Raw Data'!B83</f>
        <v>-0.36552344111798191</v>
      </c>
      <c r="C83" s="126">
        <f>'Small Cap'!B82</f>
        <v>-0.44679999999999997</v>
      </c>
      <c r="D83" s="126">
        <f>'T. Bill rates'!C86</f>
        <v>1.3999999999999999E-2</v>
      </c>
      <c r="E83" s="126">
        <f>'S&amp;P 500 &amp; Raw Data'!F84</f>
        <v>0.20101279926977011</v>
      </c>
      <c r="F83" s="126">
        <f>'S&amp;P 500 &amp; Raw Data'!J84</f>
        <v>-3.4445066435111374E-2</v>
      </c>
      <c r="G83" s="126">
        <f>'Home Prices'!B84/'Home Prices'!B83-1</f>
        <v>-0.11995200073845091</v>
      </c>
      <c r="H83" s="126">
        <f>'Gold Prices'!B83/'Gold Prices'!B82-1</f>
        <v>4.3178410794602717E-2</v>
      </c>
      <c r="I83" s="19">
        <f>B83-D83</f>
        <v>-0.37952344111798192</v>
      </c>
      <c r="J83" s="19">
        <f>B83-E83</f>
        <v>-0.56653624038775208</v>
      </c>
      <c r="K83" s="23">
        <f>Table1[[#This Row],[US Small cap (bottom decile)]]-Table1[[#This Row],[S&amp;P 500 (includes dividends)]]</f>
        <v>-8.1276558882018068E-2</v>
      </c>
      <c r="L83" s="23">
        <f>B83-F83</f>
        <v>-0.33107837468287055</v>
      </c>
    </row>
    <row r="84" spans="1:12" ht="16.149999999999999">
      <c r="A84" s="125">
        <v>2009</v>
      </c>
      <c r="B84" s="126">
        <f>('S&amp;P 500 &amp; Raw Data'!B85-'S&amp;P 500 &amp; Raw Data'!B84+'S&amp;P 500 &amp; Raw Data'!C85)/'S&amp;P 500 &amp; Raw Data'!B84</f>
        <v>0.25935233877663982</v>
      </c>
      <c r="C84" s="126">
        <f>'Small Cap'!B83</f>
        <v>0.46939999999999998</v>
      </c>
      <c r="D84" s="126">
        <f>'T. Bill rates'!C87</f>
        <v>1.5E-3</v>
      </c>
      <c r="E84" s="126">
        <f>'S&amp;P 500 &amp; Raw Data'!F85</f>
        <v>-0.11116695313259162</v>
      </c>
      <c r="F84" s="126">
        <f>'S&amp;P 500 &amp; Raw Data'!J85</f>
        <v>0.19958466821865592</v>
      </c>
      <c r="G84" s="126">
        <f>'Home Prices'!B85/'Home Prices'!B84-1</f>
        <v>-3.853970002097773E-2</v>
      </c>
      <c r="H84" s="126">
        <f>'Gold Prices'!B84/'Gold Prices'!B83-1</f>
        <v>0.25035929864903705</v>
      </c>
      <c r="I84" s="19">
        <f>B84-D84</f>
        <v>0.25785233877663982</v>
      </c>
      <c r="J84" s="19">
        <f>B84-E84</f>
        <v>0.37051929190923144</v>
      </c>
      <c r="K84" s="23">
        <f>Table1[[#This Row],[US Small cap (bottom decile)]]-Table1[[#This Row],[S&amp;P 500 (includes dividends)]]</f>
        <v>0.21004766122336016</v>
      </c>
      <c r="L84" s="23">
        <f>B84-F84</f>
        <v>5.9767670557983904E-2</v>
      </c>
    </row>
    <row r="85" spans="1:12" ht="16.149999999999999">
      <c r="A85" s="125">
        <v>2010</v>
      </c>
      <c r="B85" s="126">
        <f>('S&amp;P 500 &amp; Raw Data'!B86-'S&amp;P 500 &amp; Raw Data'!B85+'S&amp;P 500 &amp; Raw Data'!C86)/'S&amp;P 500 &amp; Raw Data'!B85</f>
        <v>0.14821092278719414</v>
      </c>
      <c r="C85" s="126">
        <f>'Small Cap'!B84</f>
        <v>0.27729999999999999</v>
      </c>
      <c r="D85" s="126">
        <f>'T. Bill rates'!C88</f>
        <v>1.4000000000000002E-3</v>
      </c>
      <c r="E85" s="126">
        <f>'S&amp;P 500 &amp; Raw Data'!F86</f>
        <v>8.4629338803557719E-2</v>
      </c>
      <c r="F85" s="126">
        <f>'S&amp;P 500 &amp; Raw Data'!J86</f>
        <v>9.401929364596065E-2</v>
      </c>
      <c r="G85" s="126">
        <f>'Home Prices'!B86/'Home Prices'!B85-1</f>
        <v>-4.1175467903037721E-2</v>
      </c>
      <c r="H85" s="126">
        <f>'Gold Prices'!B85/'Gold Prices'!B84-1</f>
        <v>0.29241379310344828</v>
      </c>
      <c r="I85" s="19">
        <f>B85-D85</f>
        <v>0.14681092278719413</v>
      </c>
      <c r="J85" s="19">
        <f>B85-E85</f>
        <v>6.3581583983636419E-2</v>
      </c>
      <c r="K85" s="23">
        <f>Table1[[#This Row],[US Small cap (bottom decile)]]-Table1[[#This Row],[S&amp;P 500 (includes dividends)]]</f>
        <v>0.12908907721280585</v>
      </c>
      <c r="L85" s="23">
        <f>B85-F85</f>
        <v>5.4191629141233488E-2</v>
      </c>
    </row>
    <row r="86" spans="1:12" ht="16.149999999999999">
      <c r="A86" s="125">
        <v>2011</v>
      </c>
      <c r="B86" s="126">
        <f>('S&amp;P 500 &amp; Raw Data'!B87-'S&amp;P 500 &amp; Raw Data'!B86+'S&amp;P 500 &amp; Raw Data'!C87)/'S&amp;P 500 &amp; Raw Data'!B86</f>
        <v>2.09837473362805E-2</v>
      </c>
      <c r="C86" s="126">
        <f>'Small Cap'!B85</f>
        <v>-0.1404</v>
      </c>
      <c r="D86" s="126">
        <f>'T. Bill rates'!C89</f>
        <v>5.0000000000000001E-4</v>
      </c>
      <c r="E86" s="126">
        <f>'S&amp;P 500 &amp; Raw Data'!F87</f>
        <v>0.16035334999461354</v>
      </c>
      <c r="F86" s="126">
        <f>'S&amp;P 500 &amp; Raw Data'!J87</f>
        <v>0.12255951527540701</v>
      </c>
      <c r="G86" s="126">
        <f>'Home Prices'!B87/'Home Prices'!B86-1</f>
        <v>-3.8854834810063577E-2</v>
      </c>
      <c r="H86" s="126">
        <f>'Gold Prices'!B86/'Gold Prices'!B85-1</f>
        <v>0.1202419067947349</v>
      </c>
      <c r="I86" s="19">
        <f>B86-D86</f>
        <v>2.04837473362805E-2</v>
      </c>
      <c r="J86" s="19">
        <f>B86-E86</f>
        <v>-0.13936960265833304</v>
      </c>
      <c r="K86" s="23">
        <f>Table1[[#This Row],[US Small cap (bottom decile)]]-Table1[[#This Row],[S&amp;P 500 (includes dividends)]]</f>
        <v>-0.1613837473362805</v>
      </c>
      <c r="L86" s="23">
        <f>B86-F86</f>
        <v>-0.10157576793912651</v>
      </c>
    </row>
    <row r="87" spans="1:12" ht="16.149999999999999">
      <c r="A87" s="125">
        <v>2012</v>
      </c>
      <c r="B87" s="126">
        <f>('S&amp;P 500 &amp; Raw Data'!B88-'S&amp;P 500 &amp; Raw Data'!B87+'S&amp;P 500 &amp; Raw Data'!C88)/'S&amp;P 500 &amp; Raw Data'!B87</f>
        <v>0.15890585241730293</v>
      </c>
      <c r="C87" s="126">
        <f>'Small Cap'!B86</f>
        <v>0.18960000000000002</v>
      </c>
      <c r="D87" s="126">
        <f>'T. Bill rates'!C90</f>
        <v>8.9999999999999998E-4</v>
      </c>
      <c r="E87" s="126">
        <f>'S&amp;P 500 &amp; Raw Data'!F88</f>
        <v>2.971571978018946E-2</v>
      </c>
      <c r="F87" s="126">
        <f>'S&amp;P 500 &amp; Raw Data'!J88</f>
        <v>9.3998518520979416E-2</v>
      </c>
      <c r="G87" s="126">
        <f>'Home Prices'!B88/'Home Prices'!B87-1</f>
        <v>6.4359805270704618E-2</v>
      </c>
      <c r="H87" s="126">
        <f>'Gold Prices'!B87/'Gold Prices'!B86-1</f>
        <v>5.6843442362654706E-2</v>
      </c>
      <c r="I87" s="19">
        <f>B87-D87</f>
        <v>0.15800585241730292</v>
      </c>
      <c r="J87" s="19">
        <f>B87-E87</f>
        <v>0.12919013263711346</v>
      </c>
      <c r="K87" s="23">
        <f>Table1[[#This Row],[US Small cap (bottom decile)]]-Table1[[#This Row],[S&amp;P 500 (includes dividends)]]</f>
        <v>3.069414758269709E-2</v>
      </c>
      <c r="L87" s="23">
        <f>B87-F87</f>
        <v>6.4907333896323513E-2</v>
      </c>
    </row>
    <row r="88" spans="1:12" ht="16.149999999999999">
      <c r="A88" s="125">
        <v>2013</v>
      </c>
      <c r="B88" s="126">
        <f>('S&amp;P 500 &amp; Raw Data'!B89-'S&amp;P 500 &amp; Raw Data'!B88+'S&amp;P 500 &amp; Raw Data'!C89)/'S&amp;P 500 &amp; Raw Data'!B88</f>
        <v>0.32145085858125483</v>
      </c>
      <c r="C88" s="126">
        <f>'Small Cap'!B87</f>
        <v>0.503</v>
      </c>
      <c r="D88" s="126">
        <f>'T. Bill rates'!C91</f>
        <v>5.9999999999999995E-4</v>
      </c>
      <c r="E88" s="126">
        <f>'S&amp;P 500 &amp; Raw Data'!F89</f>
        <v>-9.104568794347262E-2</v>
      </c>
      <c r="F88" s="126">
        <f>'S&amp;P 500 &amp; Raw Data'!J89</f>
        <v>-1.1252505764346693E-2</v>
      </c>
      <c r="G88" s="126">
        <f>'Home Prices'!B89/'Home Prices'!B88-1</f>
        <v>0.1071867983678767</v>
      </c>
      <c r="H88" s="126">
        <f>'Gold Prices'!B88/'Gold Prices'!B87-1</f>
        <v>-0.27614182692307687</v>
      </c>
      <c r="I88" s="19">
        <f>B88-D88</f>
        <v>0.32085085858125484</v>
      </c>
      <c r="J88" s="19">
        <f>B88-E88</f>
        <v>0.41249654652472745</v>
      </c>
      <c r="K88" s="23">
        <f>Table1[[#This Row],[US Small cap (bottom decile)]]-Table1[[#This Row],[S&amp;P 500 (includes dividends)]]</f>
        <v>0.18154914141874517</v>
      </c>
      <c r="L88" s="23">
        <f>B88-F88</f>
        <v>0.33270336434560155</v>
      </c>
    </row>
    <row r="89" spans="1:12" ht="16.149999999999999">
      <c r="A89" s="125">
        <v>2014</v>
      </c>
      <c r="B89" s="126">
        <f>('S&amp;P 500 &amp; Raw Data'!B90-'S&amp;P 500 &amp; Raw Data'!B89+'S&amp;P 500 &amp; Raw Data'!C90)/'S&amp;P 500 &amp; Raw Data'!B89</f>
        <v>0.13524421649462237</v>
      </c>
      <c r="C89" s="126">
        <f>'Small Cap'!B88</f>
        <v>1.5300000000000001E-2</v>
      </c>
      <c r="D89" s="126">
        <f>'T. Bill rates'!C92</f>
        <v>2.9999999999999997E-4</v>
      </c>
      <c r="E89" s="126">
        <f>'S&amp;P 500 &amp; Raw Data'!F90</f>
        <v>0.10746180452004755</v>
      </c>
      <c r="F89" s="126">
        <f>'S&amp;P 500 &amp; Raw Data'!J90</f>
        <v>0.10746402616714908</v>
      </c>
      <c r="G89" s="126">
        <f>'Home Prices'!B90/'Home Prices'!B89-1</f>
        <v>4.503361982910703E-2</v>
      </c>
      <c r="H89" s="126">
        <f>'Gold Prices'!B89/'Gold Prices'!B88-1</f>
        <v>1.2453300124533051E-3</v>
      </c>
      <c r="I89" s="19">
        <f>B89-D89</f>
        <v>0.13494421649462238</v>
      </c>
      <c r="J89" s="19">
        <f>B89-E89</f>
        <v>2.7782411974574817E-2</v>
      </c>
      <c r="K89" s="23">
        <f>Table1[[#This Row],[US Small cap (bottom decile)]]-Table1[[#This Row],[S&amp;P 500 (includes dividends)]]</f>
        <v>-0.11994421649462236</v>
      </c>
      <c r="L89" s="23">
        <f>B89-F89</f>
        <v>2.7780190327473295E-2</v>
      </c>
    </row>
    <row r="90" spans="1:12" ht="16.149999999999999">
      <c r="A90" s="127">
        <v>2015</v>
      </c>
      <c r="B90" s="126">
        <f>('S&amp;P 500 &amp; Raw Data'!B91-'S&amp;P 500 &amp; Raw Data'!B90+'S&amp;P 500 &amp; Raw Data'!C91)/'S&amp;P 500 &amp; Raw Data'!B90</f>
        <v>1.3788916411676138E-2</v>
      </c>
      <c r="C90" s="126">
        <f>'Small Cap'!B89</f>
        <v>-9.1199999999999989E-2</v>
      </c>
      <c r="D90" s="126">
        <f>'T. Bill rates'!C93</f>
        <v>5.0000000000000001E-4</v>
      </c>
      <c r="E90" s="126">
        <f>'S&amp;P 500 &amp; Raw Data'!F91</f>
        <v>1.2842996709792224E-2</v>
      </c>
      <c r="F90" s="126">
        <f>'S&amp;P 500 &amp; Raw Data'!J91</f>
        <v>-1.5008531794429583E-2</v>
      </c>
      <c r="G90" s="126">
        <f>'Home Prices'!B91/'Home Prices'!B90-1</f>
        <v>5.1948286012946543E-2</v>
      </c>
      <c r="H90" s="126">
        <f>'Gold Prices'!B90/'Gold Prices'!B89-1</f>
        <v>-0.12106135986733002</v>
      </c>
      <c r="I90" s="19">
        <f>B90-D90</f>
        <v>1.3288916411676137E-2</v>
      </c>
      <c r="J90" s="19">
        <f>B90-E90</f>
        <v>9.4591970188391376E-4</v>
      </c>
      <c r="K90" s="23">
        <f>Table1[[#This Row],[US Small cap (bottom decile)]]-Table1[[#This Row],[S&amp;P 500 (includes dividends)]]</f>
        <v>-0.10498891641167613</v>
      </c>
      <c r="L90" s="23">
        <f>B90-F90</f>
        <v>2.8797448206105719E-2</v>
      </c>
    </row>
    <row r="91" spans="1:12" ht="16.149999999999999">
      <c r="A91" s="128">
        <v>2016</v>
      </c>
      <c r="B91" s="126">
        <f>('S&amp;P 500 &amp; Raw Data'!B92-'S&amp;P 500 &amp; Raw Data'!B91+'S&amp;P 500 &amp; Raw Data'!C92)/'S&amp;P 500 &amp; Raw Data'!B91</f>
        <v>0.11773080874798171</v>
      </c>
      <c r="C91" s="126">
        <f>'Small Cap'!B90</f>
        <v>0.17019999999999999</v>
      </c>
      <c r="D91" s="126">
        <f>'T. Bill rates'!C94</f>
        <v>3.2000000000000002E-3</v>
      </c>
      <c r="E91" s="126">
        <f>'S&amp;P 500 &amp; Raw Data'!F92</f>
        <v>6.9055046987477921E-3</v>
      </c>
      <c r="F91" s="126">
        <f>'S&amp;P 500 &amp; Raw Data'!J92</f>
        <v>0.11524473910506201</v>
      </c>
      <c r="G91" s="126">
        <f>'Home Prices'!B92/'Home Prices'!B91-1</f>
        <v>5.3055093917225182E-2</v>
      </c>
      <c r="H91" s="126">
        <f>'Gold Prices'!B91/'Gold Prices'!B90-1</f>
        <v>8.1037735849056602E-2</v>
      </c>
      <c r="I91" s="19">
        <f>B91-D91</f>
        <v>0.11453080874798172</v>
      </c>
      <c r="J91" s="19">
        <f>B91-E91</f>
        <v>0.11082530404923392</v>
      </c>
      <c r="K91" s="23">
        <f>Table1[[#This Row],[US Small cap (bottom decile)]]-Table1[[#This Row],[S&amp;P 500 (includes dividends)]]</f>
        <v>5.246919125201828E-2</v>
      </c>
      <c r="L91" s="23">
        <f>B91-F91</f>
        <v>2.4860696429196971E-3</v>
      </c>
    </row>
    <row r="92" spans="1:12" ht="16.149999999999999">
      <c r="A92" s="128">
        <v>2017</v>
      </c>
      <c r="B92" s="126">
        <f>('S&amp;P 500 &amp; Raw Data'!B93-'S&amp;P 500 &amp; Raw Data'!B92+'S&amp;P 500 &amp; Raw Data'!C93)/'S&amp;P 500 &amp; Raw Data'!B92</f>
        <v>0.2160548143449928</v>
      </c>
      <c r="C92" s="126">
        <f>'Small Cap'!B91</f>
        <v>0.15130000000000002</v>
      </c>
      <c r="D92" s="126">
        <f>'T. Bill rates'!C95</f>
        <v>9.4999999999999998E-3</v>
      </c>
      <c r="E92" s="126">
        <f>'S&amp;P 500 &amp; Raw Data'!F93</f>
        <v>2.8017162707789457E-2</v>
      </c>
      <c r="F92" s="126">
        <f>'S&amp;P 500 &amp; Raw Data'!J93</f>
        <v>9.1512861973051515E-2</v>
      </c>
      <c r="G92" s="126">
        <f>'Home Prices'!B93/'Home Prices'!B92-1</f>
        <v>6.2069189927930646E-2</v>
      </c>
      <c r="H92" s="126">
        <f>'Gold Prices'!B92/'Gold Prices'!B91-1</f>
        <v>0.12662535997905566</v>
      </c>
      <c r="I92" s="19">
        <f>B92-D92</f>
        <v>0.20655481434499279</v>
      </c>
      <c r="J92" s="19">
        <f>B92-E92</f>
        <v>0.18803765163720335</v>
      </c>
      <c r="K92" s="23">
        <f>Table1[[#This Row],[US Small cap (bottom decile)]]-Table1[[#This Row],[S&amp;P 500 (includes dividends)]]</f>
        <v>-6.4754814344992778E-2</v>
      </c>
      <c r="L92" s="23">
        <f>B92-F92</f>
        <v>0.12454195237194128</v>
      </c>
    </row>
    <row r="93" spans="1:12" ht="16.149999999999999">
      <c r="A93" s="128">
        <v>2018</v>
      </c>
      <c r="B93" s="126">
        <f>('S&amp;P 500 &amp; Raw Data'!B94-'S&amp;P 500 &amp; Raw Data'!B93+'S&amp;P 500 &amp; Raw Data'!C94)/'S&amp;P 500 &amp; Raw Data'!B93</f>
        <v>-4.2268692890885438E-2</v>
      </c>
      <c r="C93" s="126">
        <f>'Small Cap'!B92</f>
        <v>-0.16210000000000002</v>
      </c>
      <c r="D93" s="126">
        <f>'T. Bill rates'!C96</f>
        <v>1.9699999999999999E-2</v>
      </c>
      <c r="E93" s="126">
        <f>'S&amp;P 500 &amp; Raw Data'!F94</f>
        <v>-1.6692385713402633E-4</v>
      </c>
      <c r="F93" s="126">
        <f>'S&amp;P 500 &amp; Raw Data'!J94</f>
        <v>-3.1827246355492778E-2</v>
      </c>
      <c r="G93" s="126">
        <f>'Home Prices'!B94/'Home Prices'!B93-1</f>
        <v>4.517555505626647E-2</v>
      </c>
      <c r="H93" s="126">
        <f>'Gold Prices'!B93/'Gold Prices'!B92-1</f>
        <v>-9.2951200619674212E-3</v>
      </c>
      <c r="I93" s="19">
        <f>B93-D93</f>
        <v>-6.1968692890885441E-2</v>
      </c>
      <c r="J93" s="19">
        <f>B93-E93</f>
        <v>-4.2101769033751416E-2</v>
      </c>
      <c r="K93" s="23">
        <f>Table1[[#This Row],[US Small cap (bottom decile)]]-Table1[[#This Row],[S&amp;P 500 (includes dividends)]]</f>
        <v>-0.11983130710911458</v>
      </c>
      <c r="L93" s="23">
        <f>B93-F93</f>
        <v>-1.0441446535392661E-2</v>
      </c>
    </row>
    <row r="94" spans="1:12" ht="16.149999999999999">
      <c r="A94" s="125">
        <v>2019</v>
      </c>
      <c r="B94" s="126">
        <f>('S&amp;P 500 &amp; Raw Data'!B95-'S&amp;P 500 &amp; Raw Data'!B94+'S&amp;P 500 &amp; Raw Data'!C95)/'S&amp;P 500 &amp; Raw Data'!B94</f>
        <v>0.31211679996808755</v>
      </c>
      <c r="C94" s="126">
        <f>'Small Cap'!B93</f>
        <v>0.1192</v>
      </c>
      <c r="D94" s="126">
        <f>'T. Bill rates'!C97</f>
        <v>2.1099999999999997E-2</v>
      </c>
      <c r="E94" s="126">
        <f>'S&amp;P 500 &amp; Raw Data'!F95</f>
        <v>9.6356307415483927E-2</v>
      </c>
      <c r="F94" s="126">
        <f>'S&amp;P 500 &amp; Raw Data'!J95</f>
        <v>0.15247765775278477</v>
      </c>
      <c r="G94" s="126">
        <f>'Home Prices'!B95/'Home Prices'!B94-1</f>
        <v>3.6852107893669883E-2</v>
      </c>
      <c r="H94" s="126">
        <f>'Gold Prices'!B94/'Gold Prices'!B93-1</f>
        <v>0.19077404222048466</v>
      </c>
      <c r="I94" s="19">
        <f>B94-D94</f>
        <v>0.29101679996808755</v>
      </c>
      <c r="J94" s="19">
        <f>B94-E94</f>
        <v>0.21576049255260363</v>
      </c>
      <c r="K94" s="23">
        <f>Table1[[#This Row],[US Small cap (bottom decile)]]-Table1[[#This Row],[S&amp;P 500 (includes dividends)]]</f>
        <v>-0.19291679996808755</v>
      </c>
      <c r="L94" s="23">
        <f>B94-F94</f>
        <v>0.15963914221530279</v>
      </c>
    </row>
    <row r="95" spans="1:12" ht="16.149999999999999">
      <c r="A95" s="128">
        <v>2020</v>
      </c>
      <c r="B95" s="126">
        <f>('S&amp;P 500 &amp; Raw Data'!B96-'S&amp;P 500 &amp; Raw Data'!B95+'S&amp;P 500 &amp; Raw Data'!C96)/'S&amp;P 500 &amp; Raw Data'!B95</f>
        <v>0.18023201827422478</v>
      </c>
      <c r="C95" s="126">
        <f>'Small Cap'!B94</f>
        <v>0.34159999999999996</v>
      </c>
      <c r="D95" s="126">
        <f>'T. Bill rates'!C98</f>
        <v>3.5999999999999999E-3</v>
      </c>
      <c r="E95" s="126">
        <f>'S&amp;P 500 &amp; Raw Data'!F96</f>
        <v>0.1133189764661412</v>
      </c>
      <c r="F95" s="126">
        <f>'S&amp;P 500 &amp; Raw Data'!J96</f>
        <v>0.10601187472880443</v>
      </c>
      <c r="G95" s="126">
        <f>'Home Prices'!B96/'Home Prices'!B95-1</f>
        <v>0.10426620677957033</v>
      </c>
      <c r="H95" s="126">
        <f>'Gold Prices'!B95/'Gold Prices'!B94-1</f>
        <v>0.24169402495075509</v>
      </c>
      <c r="I95" s="19">
        <f>B95-D95</f>
        <v>0.17663201827422478</v>
      </c>
      <c r="J95" s="19">
        <f>B95-E95</f>
        <v>6.6913041808083579E-2</v>
      </c>
      <c r="K95" s="59">
        <f>Table1[[#This Row],[US Small cap (bottom decile)]]-Table1[[#This Row],[S&amp;P 500 (includes dividends)]]</f>
        <v>0.16136798172577518</v>
      </c>
      <c r="L95" s="59">
        <f>B95-F95</f>
        <v>7.422014354542035E-2</v>
      </c>
    </row>
    <row r="96" spans="1:12" ht="16.149999999999999">
      <c r="A96" s="128">
        <v>2021</v>
      </c>
      <c r="B96" s="126">
        <f>('S&amp;P 500 &amp; Raw Data'!B97-'S&amp;P 500 &amp; Raw Data'!B96+'S&amp;P 500 &amp; Raw Data'!C97)/'S&amp;P 500 &amp; Raw Data'!B96</f>
        <v>0.28468851751964158</v>
      </c>
      <c r="C96" s="126">
        <f>'Small Cap'!B95</f>
        <v>0.22409999999999999</v>
      </c>
      <c r="D96" s="126">
        <f>'T. Bill rates'!C99</f>
        <v>4.0000000000000002E-4</v>
      </c>
      <c r="E96" s="126">
        <f>'S&amp;P 500 &amp; Raw Data'!F97</f>
        <v>-4.416034448604475E-2</v>
      </c>
      <c r="F96" s="126">
        <f>'S&amp;P 500 &amp; Raw Data'!J97</f>
        <v>1.016099565776583E-2</v>
      </c>
      <c r="G96" s="126">
        <f>'Home Prices'!B97/'Home Prices'!B96-1</f>
        <v>0.1886462360360821</v>
      </c>
      <c r="H96" s="126">
        <f>'Gold Prices'!B96/'Gold Prices'!B95-1</f>
        <v>-3.7544286394162185E-2</v>
      </c>
      <c r="I96" s="19">
        <f>B96-D96</f>
        <v>0.28428851751964157</v>
      </c>
      <c r="J96" s="19">
        <f>B96-E96</f>
        <v>0.3288488620056863</v>
      </c>
      <c r="K96" s="59">
        <f>Table1[[#This Row],[US Small cap (bottom decile)]]-Table1[[#This Row],[S&amp;P 500 (includes dividends)]]</f>
        <v>-6.0588517519641588E-2</v>
      </c>
      <c r="L96" s="59">
        <f>B96-F96</f>
        <v>0.27452752186187573</v>
      </c>
    </row>
    <row r="97" spans="1:12" ht="16.149999999999999">
      <c r="A97" s="128">
        <v>2022</v>
      </c>
      <c r="B97" s="126">
        <f>('S&amp;P 500 &amp; Raw Data'!B98-'S&amp;P 500 &amp; Raw Data'!B97+'S&amp;P 500 &amp; Raw Data'!C98)/'S&amp;P 500 &amp; Raw Data'!B97</f>
        <v>-0.18037505927178585</v>
      </c>
      <c r="C97" s="126">
        <f>'Small Cap'!B96</f>
        <v>-0.22899999999999998</v>
      </c>
      <c r="D97" s="126">
        <f>'T. Bill rates'!C100</f>
        <v>2.0899999999999998E-2</v>
      </c>
      <c r="E97" s="126">
        <f>'S&amp;P 500 &amp; Raw Data'!F98</f>
        <v>-0.1782817153825067</v>
      </c>
      <c r="F97" s="126">
        <f>'S&amp;P 500 &amp; Raw Data'!J98</f>
        <v>-0.15228134867768467</v>
      </c>
      <c r="G97" s="126">
        <f>'Home Prices'!B98/'Home Prices'!B97-1</f>
        <v>5.6518430235059203E-2</v>
      </c>
      <c r="H97" s="126">
        <f>'Gold Prices'!B97/'Gold Prices'!B96-1</f>
        <v>5.494203615185933E-3</v>
      </c>
      <c r="I97" s="19">
        <f>B97-D97</f>
        <v>-0.20127505927178585</v>
      </c>
      <c r="J97" s="19">
        <f>B97-E97</f>
        <v>-2.0933438892791478E-3</v>
      </c>
      <c r="K97" s="59">
        <f>Table1[[#This Row],[US Small cap (bottom decile)]]-Table1[[#This Row],[S&amp;P 500 (includes dividends)]]</f>
        <v>-4.8624940728214133E-2</v>
      </c>
      <c r="L97" s="59">
        <f>B97-F97</f>
        <v>-2.8093710594101179E-2</v>
      </c>
    </row>
    <row r="98" spans="1:12" ht="16.149999999999999">
      <c r="A98" s="128">
        <v>2023</v>
      </c>
      <c r="B98" s="126">
        <f>('S&amp;P 500 &amp; Raw Data'!B99-'S&amp;P 500 &amp; Raw Data'!B98+'S&amp;P 500 &amp; Raw Data'!C99)/'S&amp;P 500 &amp; Raw Data'!B98</f>
        <v>0.26060684985024096</v>
      </c>
      <c r="C98" s="126">
        <f>'Small Cap'!B97</f>
        <v>5.1900000000000002E-2</v>
      </c>
      <c r="D98" s="126">
        <f>'T. Bill rates'!C101</f>
        <v>5.28E-2</v>
      </c>
      <c r="E98" s="126">
        <f>'S&amp;P 500 &amp; Raw Data'!F99</f>
        <v>3.8800000000000001E-2</v>
      </c>
      <c r="F98" s="126">
        <f>'S&amp;P 500 &amp; Raw Data'!J99</f>
        <v>8.7356722013658433E-2</v>
      </c>
      <c r="G98" s="126">
        <f>'Home Prices'!B99/'Home Prices'!B98-1</f>
        <v>5.678404936325232E-2</v>
      </c>
      <c r="H98" s="126">
        <f>'Gold Prices'!B98/'Gold Prices'!B97-1</f>
        <v>0.13262116824217252</v>
      </c>
      <c r="I98" s="19">
        <f>B98-D98</f>
        <v>0.20780684985024095</v>
      </c>
      <c r="J98" s="19">
        <f>B98-E98</f>
        <v>0.22180684985024096</v>
      </c>
      <c r="K98" s="59">
        <f>Table1[[#This Row],[US Small cap (bottom decile)]]-Table1[[#This Row],[S&amp;P 500 (includes dividends)]]</f>
        <v>-0.20870684985024096</v>
      </c>
      <c r="L98" s="59">
        <f>B98-F98</f>
        <v>0.17325012783658253</v>
      </c>
    </row>
    <row r="99" spans="1:12" ht="16.149999999999999">
      <c r="A99" s="129">
        <v>2024</v>
      </c>
      <c r="B99" s="126">
        <f>('S&amp;P 500 &amp; Raw Data'!B100-'S&amp;P 500 &amp; Raw Data'!B99+'S&amp;P 500 &amp; Raw Data'!C100)/'S&amp;P 500 &amp; Raw Data'!B99</f>
        <v>0.24878611262526726</v>
      </c>
      <c r="C99" s="130">
        <f>'Small Cap'!B98</f>
        <v>8.6999999999999994E-2</v>
      </c>
      <c r="D99" s="126">
        <f>'T. Bill rates'!C102</f>
        <v>5.1799999999999999E-2</v>
      </c>
      <c r="E99" s="126">
        <f>'S&amp;P 500 &amp; Raw Data'!F100</f>
        <v>-1.6371801436629807E-2</v>
      </c>
      <c r="F99" s="130">
        <f>'S&amp;P 500 &amp; Raw Data'!J100</f>
        <v>1.7363556037785111E-2</v>
      </c>
      <c r="G99" s="130">
        <f>'Home Prices'!B100/'Home Prices'!B99-1</f>
        <v>3.9634107131377494E-2</v>
      </c>
      <c r="H99" s="126">
        <f>'Gold Prices'!B99/'Gold Prices'!B98-1</f>
        <v>0.25957034171004567</v>
      </c>
      <c r="I99" s="19">
        <f>B99-D99</f>
        <v>0.19698611262526727</v>
      </c>
      <c r="J99" s="19">
        <f>B99-E99</f>
        <v>0.26515791406189704</v>
      </c>
      <c r="K99" s="59">
        <f>Table1[[#This Row],[US Small cap (bottom decile)]]-Table1[[#This Row],[S&amp;P 500 (includes dividends)]]</f>
        <v>-0.16178611262526726</v>
      </c>
      <c r="L99" s="59">
        <f>B99-F99</f>
        <v>0.23142255658748215</v>
      </c>
    </row>
    <row r="100" spans="1:12" ht="16.149999999999999">
      <c r="A100" s="129">
        <v>2025</v>
      </c>
      <c r="B100" s="126">
        <f>('S&amp;P 500 &amp; Raw Data'!B101-'S&amp;P 500 &amp; Raw Data'!B100+'S&amp;P 500 &amp; Raw Data'!C101)/'S&amp;P 500 &amp; Raw Data'!B100</f>
        <v>0.17723658237597398</v>
      </c>
      <c r="C100" s="130">
        <f>'Small Cap'!B99</f>
        <v>0.1653</v>
      </c>
      <c r="D100" s="126">
        <f>'T. Bill rates'!C103</f>
        <v>4.2099999999999999E-2</v>
      </c>
      <c r="E100" s="126">
        <f>'S&amp;P 500 &amp; Raw Data'!F101</f>
        <v>7.7954808707673962E-2</v>
      </c>
      <c r="F100" s="130">
        <f>'S&amp;P 500 &amp; Raw Data'!J101</f>
        <v>6.9627320847848118E-2</v>
      </c>
      <c r="G100" s="130">
        <f>'Home Prices'!B101/'Home Prices'!B100-1</f>
        <v>1.5757065938450054E-2</v>
      </c>
      <c r="H100" s="126">
        <f>'Gold Prices'!B100/'Gold Prices'!B99-1</f>
        <v>0.66215791791945167</v>
      </c>
      <c r="I100" s="19">
        <f>B100-D100</f>
        <v>0.13513658237597398</v>
      </c>
      <c r="J100" s="19">
        <f>B100-E100</f>
        <v>9.9281773668300016E-2</v>
      </c>
      <c r="K100" s="59">
        <f>Table1[[#This Row],[US Small cap (bottom decile)]]-Table1[[#This Row],[S&amp;P 500 (includes dividends)]]</f>
        <v>-1.1936582375973975E-2</v>
      </c>
      <c r="L100" s="59">
        <f>B100-F100</f>
        <v>0.10760926152812586</v>
      </c>
    </row>
  </sheetData>
  <mergeCells count="2">
    <mergeCell ref="I1:L1"/>
    <mergeCell ref="B1:H1"/>
  </mergeCells>
  <phoneticPr fontId="10"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1"/>
  <sheetViews>
    <sheetView topLeftCell="A62" workbookViewId="0">
      <selection activeCell="C101" sqref="C101"/>
    </sheetView>
  </sheetViews>
  <sheetFormatPr defaultColWidth="11.07421875" defaultRowHeight="13.9"/>
  <cols>
    <col min="2" max="2" width="10.69140625" style="7"/>
    <col min="3" max="3" width="10.69140625" style="65"/>
    <col min="4" max="5" width="10.69140625" style="7"/>
    <col min="6" max="6" width="11" style="7" bestFit="1" customWidth="1"/>
    <col min="7" max="11" width="11" style="7" customWidth="1"/>
    <col min="12" max="12" width="11" customWidth="1"/>
  </cols>
  <sheetData>
    <row r="1" spans="1:13" ht="15.4">
      <c r="B1" s="3"/>
      <c r="D1" s="3"/>
      <c r="E1" s="3"/>
      <c r="F1" s="3"/>
      <c r="G1" s="3"/>
      <c r="H1" s="3"/>
      <c r="I1" s="3"/>
      <c r="J1" s="3"/>
      <c r="K1" s="3"/>
      <c r="L1" s="5"/>
    </row>
    <row r="2" spans="1:13" ht="15.4">
      <c r="A2" s="4" t="s">
        <v>5</v>
      </c>
      <c r="B2" s="1" t="s">
        <v>7</v>
      </c>
      <c r="C2" s="8" t="s">
        <v>9</v>
      </c>
      <c r="D2" s="1" t="s">
        <v>10</v>
      </c>
      <c r="E2" s="1" t="s">
        <v>8</v>
      </c>
      <c r="F2" s="1" t="s">
        <v>11</v>
      </c>
      <c r="G2" s="25" t="s">
        <v>25</v>
      </c>
      <c r="H2" s="25" t="s">
        <v>27</v>
      </c>
      <c r="I2" s="25" t="s">
        <v>26</v>
      </c>
      <c r="J2" s="25" t="s">
        <v>28</v>
      </c>
      <c r="K2" s="25" t="s">
        <v>29</v>
      </c>
      <c r="L2" s="25"/>
      <c r="M2" s="25"/>
    </row>
    <row r="3" spans="1:13" ht="15.4">
      <c r="A3" s="1">
        <v>1927</v>
      </c>
      <c r="B3" s="1">
        <v>17.66</v>
      </c>
      <c r="C3" s="8">
        <f>D3*B3</f>
        <v>0.61810000000000009</v>
      </c>
      <c r="D3" s="6">
        <v>3.5000000000000003E-2</v>
      </c>
      <c r="E3" s="2">
        <v>3.1699999999999999E-2</v>
      </c>
      <c r="F3" s="1"/>
      <c r="G3" s="36">
        <f>'Moody''s Rates'!C20</f>
        <v>4.4600000000000001E-2</v>
      </c>
      <c r="H3" s="3"/>
      <c r="I3" s="37">
        <f>'Moody''s Rates'!K20</f>
        <v>5.3200000000000004E-2</v>
      </c>
      <c r="J3" s="3"/>
      <c r="K3" s="1"/>
      <c r="L3" s="3"/>
    </row>
    <row r="4" spans="1:13" ht="15.4">
      <c r="A4" s="1">
        <v>1928</v>
      </c>
      <c r="B4" s="1">
        <v>24.35</v>
      </c>
      <c r="C4" s="8">
        <f t="shared" ref="C4:C35" si="0">D4*B4</f>
        <v>1.04705</v>
      </c>
      <c r="D4" s="6">
        <v>4.2999999999999997E-2</v>
      </c>
      <c r="E4" s="2">
        <v>3.4500000000000003E-2</v>
      </c>
      <c r="F4" s="6">
        <f t="shared" ref="F4:J38" si="1">((E3*(1-(1+E4)^(-10))/E4+1/(1+E4)^10)-1)+E3</f>
        <v>8.354708589799302E-3</v>
      </c>
      <c r="G4" s="36">
        <f>'Moody''s Rates'!C21</f>
        <v>4.6100000000000002E-2</v>
      </c>
      <c r="H4" s="6">
        <f t="shared" si="1"/>
        <v>3.279485596639467E-2</v>
      </c>
      <c r="I4" s="37">
        <f>'Moody''s Rates'!K21</f>
        <v>5.5999999999999994E-2</v>
      </c>
      <c r="J4" s="38">
        <f t="shared" si="1"/>
        <v>3.2195514702324381E-2</v>
      </c>
      <c r="K4" s="37">
        <f>'Home Prices (Raw Data)'!C48</f>
        <v>1.4910639283360227E-2</v>
      </c>
      <c r="L4" s="33"/>
    </row>
    <row r="5" spans="1:13" ht="15.4">
      <c r="A5" s="1">
        <v>1929</v>
      </c>
      <c r="B5" s="1">
        <v>21.45</v>
      </c>
      <c r="C5" s="8">
        <f t="shared" si="0"/>
        <v>0.87944999999999995</v>
      </c>
      <c r="D5" s="6">
        <v>4.1000000000000002E-2</v>
      </c>
      <c r="E5" s="2">
        <v>3.3599999999999998E-2</v>
      </c>
      <c r="F5" s="6">
        <f t="shared" si="1"/>
        <v>4.2038041563204259E-2</v>
      </c>
      <c r="G5" s="36">
        <f>'Moody''s Rates'!C22</f>
        <v>4.6699999999999998E-2</v>
      </c>
      <c r="H5" s="6">
        <f t="shared" si="1"/>
        <v>4.1391804160856499E-2</v>
      </c>
      <c r="I5" s="37">
        <f>'Moody''s Rates'!K22</f>
        <v>5.9500000000000004E-2</v>
      </c>
      <c r="J5" s="38">
        <f t="shared" si="1"/>
        <v>3.0178562399040432E-2</v>
      </c>
      <c r="K5" s="37">
        <f>'Home Prices (Raw Data)'!C49</f>
        <v>-2.0568074817057913E-2</v>
      </c>
      <c r="L5" s="33"/>
    </row>
    <row r="6" spans="1:13" ht="15.4">
      <c r="A6" s="1">
        <v>1930</v>
      </c>
      <c r="B6" s="1">
        <v>15.34</v>
      </c>
      <c r="C6" s="8">
        <f t="shared" si="0"/>
        <v>0.72097999999999995</v>
      </c>
      <c r="D6" s="6">
        <v>4.7E-2</v>
      </c>
      <c r="E6" s="2">
        <v>3.2199999999999999E-2</v>
      </c>
      <c r="F6" s="6">
        <f t="shared" si="1"/>
        <v>4.5409314348970366E-2</v>
      </c>
      <c r="G6" s="36">
        <f>'Moody''s Rates'!C23</f>
        <v>4.5199999999999997E-2</v>
      </c>
      <c r="H6" s="6">
        <f t="shared" si="1"/>
        <v>5.8557414353302785E-2</v>
      </c>
      <c r="I6" s="37">
        <f>'Moody''s Rates'!K23</f>
        <v>6.7099999999999993E-2</v>
      </c>
      <c r="J6" s="38">
        <f t="shared" si="1"/>
        <v>5.3978094648238287E-3</v>
      </c>
      <c r="K6" s="37">
        <f>'Home Prices (Raw Data)'!C50</f>
        <v>-4.2999992762481454E-2</v>
      </c>
      <c r="L6" s="33"/>
    </row>
    <row r="7" spans="1:13" ht="15.4">
      <c r="A7" s="1">
        <v>1931</v>
      </c>
      <c r="B7" s="1">
        <v>8.1199999999999992</v>
      </c>
      <c r="C7" s="8">
        <f t="shared" si="0"/>
        <v>0.49531999999999993</v>
      </c>
      <c r="D7" s="6">
        <v>6.0999999999999999E-2</v>
      </c>
      <c r="E7" s="2">
        <v>3.9300000000000002E-2</v>
      </c>
      <c r="F7" s="6">
        <f t="shared" si="1"/>
        <v>-2.5588559619422531E-2</v>
      </c>
      <c r="G7" s="36">
        <f>'Moody''s Rates'!C24</f>
        <v>5.3200000000000004E-2</v>
      </c>
      <c r="H7" s="6">
        <f t="shared" si="1"/>
        <v>-1.5625061412875695E-2</v>
      </c>
      <c r="I7" s="37">
        <f>'Moody''s Rates'!K24</f>
        <v>0.1042</v>
      </c>
      <c r="J7" s="38">
        <f t="shared" si="1"/>
        <v>-0.15680775082667592</v>
      </c>
      <c r="K7" s="37">
        <f>'Home Prices (Raw Data)'!C51</f>
        <v>-8.1504821861144605E-2</v>
      </c>
      <c r="L7" s="33"/>
    </row>
    <row r="8" spans="1:13" ht="15.4">
      <c r="A8" s="1">
        <v>1932</v>
      </c>
      <c r="B8" s="1">
        <v>6.92</v>
      </c>
      <c r="C8" s="8">
        <f t="shared" si="0"/>
        <v>0.49823999999999996</v>
      </c>
      <c r="D8" s="6">
        <v>7.1999999999999995E-2</v>
      </c>
      <c r="E8" s="2">
        <v>3.3500000000000002E-2</v>
      </c>
      <c r="F8" s="6">
        <f t="shared" si="1"/>
        <v>8.7903069904773257E-2</v>
      </c>
      <c r="G8" s="36">
        <f>'Moody''s Rates'!C25</f>
        <v>4.5899999999999996E-2</v>
      </c>
      <c r="H8" s="6">
        <f t="shared" si="1"/>
        <v>0.11070808430446419</v>
      </c>
      <c r="I8" s="37">
        <f>'Moody''s Rates'!K25</f>
        <v>8.4199999999999997E-2</v>
      </c>
      <c r="J8" s="38">
        <f t="shared" si="1"/>
        <v>0.23589601675740196</v>
      </c>
      <c r="K8" s="37">
        <f>'Home Prices (Raw Data)'!C52</f>
        <v>-0.10466427716260551</v>
      </c>
      <c r="L8" s="33"/>
    </row>
    <row r="9" spans="1:13" ht="15.4">
      <c r="A9" s="1">
        <v>1933</v>
      </c>
      <c r="B9" s="1">
        <v>9.9700000000000006</v>
      </c>
      <c r="C9" s="8">
        <f t="shared" si="0"/>
        <v>0.40877000000000002</v>
      </c>
      <c r="D9" s="6">
        <v>4.1000000000000002E-2</v>
      </c>
      <c r="E9" s="2">
        <v>3.5299999999999998E-2</v>
      </c>
      <c r="F9" s="6">
        <f t="shared" si="1"/>
        <v>1.8552720891857361E-2</v>
      </c>
      <c r="G9" s="36">
        <f>'Moody''s Rates'!C26</f>
        <v>4.4999999999999998E-2</v>
      </c>
      <c r="H9" s="6">
        <f t="shared" si="1"/>
        <v>5.3021446359399149E-2</v>
      </c>
      <c r="I9" s="37">
        <f>'Moody''s Rates'!K26</f>
        <v>7.7499999999999999E-2</v>
      </c>
      <c r="J9" s="38">
        <f t="shared" si="1"/>
        <v>0.1296689369754826</v>
      </c>
      <c r="K9" s="37">
        <f>'Home Prices (Raw Data)'!C53</f>
        <v>-3.8119480144119811E-2</v>
      </c>
      <c r="L9" s="33"/>
    </row>
    <row r="10" spans="1:13" ht="15.4">
      <c r="A10" s="1">
        <v>1934</v>
      </c>
      <c r="B10" s="1">
        <v>9.5</v>
      </c>
      <c r="C10" s="8">
        <f t="shared" si="0"/>
        <v>0.35149999999999998</v>
      </c>
      <c r="D10" s="6">
        <v>3.6999999999999998E-2</v>
      </c>
      <c r="E10" s="2">
        <v>3.0099999999999998E-2</v>
      </c>
      <c r="F10" s="6">
        <f t="shared" si="1"/>
        <v>7.9634426179656104E-2</v>
      </c>
      <c r="G10" s="36">
        <f>'Moody''s Rates'!C27</f>
        <v>3.8100000000000002E-2</v>
      </c>
      <c r="H10" s="6">
        <f t="shared" si="1"/>
        <v>0.10149829894135538</v>
      </c>
      <c r="I10" s="37">
        <f>'Moody''s Rates'!K27</f>
        <v>6.2300000000000001E-2</v>
      </c>
      <c r="J10" s="38">
        <f t="shared" si="1"/>
        <v>0.18816429268482648</v>
      </c>
      <c r="K10" s="37">
        <f>'Home Prices (Raw Data)'!C54</f>
        <v>2.9062072752155554E-2</v>
      </c>
      <c r="L10" s="33"/>
    </row>
    <row r="11" spans="1:13" ht="15.4">
      <c r="A11" s="1">
        <v>1935</v>
      </c>
      <c r="B11" s="1">
        <v>13.43</v>
      </c>
      <c r="C11" s="8">
        <f t="shared" si="0"/>
        <v>0.51034000000000002</v>
      </c>
      <c r="D11" s="6">
        <v>3.7999999999999999E-2</v>
      </c>
      <c r="E11" s="2">
        <v>2.8400000000000002E-2</v>
      </c>
      <c r="F11" s="6">
        <f t="shared" si="1"/>
        <v>4.4720477296566127E-2</v>
      </c>
      <c r="G11" s="36">
        <f>'Moody''s Rates'!C28</f>
        <v>3.44E-2</v>
      </c>
      <c r="H11" s="6">
        <f t="shared" si="1"/>
        <v>6.896470928924045E-2</v>
      </c>
      <c r="I11" s="37">
        <f>'Moody''s Rates'!K28</f>
        <v>5.2999999999999999E-2</v>
      </c>
      <c r="J11" s="38">
        <f t="shared" si="1"/>
        <v>0.1330773186567917</v>
      </c>
      <c r="K11" s="37">
        <f>'Home Prices (Raw Data)'!C55</f>
        <v>9.7658280630269045E-2</v>
      </c>
      <c r="L11" s="33"/>
    </row>
    <row r="12" spans="1:13" ht="15.4">
      <c r="A12" s="1">
        <v>1936</v>
      </c>
      <c r="B12" s="1">
        <v>17.18</v>
      </c>
      <c r="C12" s="8">
        <v>0.54</v>
      </c>
      <c r="D12" s="6">
        <f>C12/B12</f>
        <v>3.1431897555296857E-2</v>
      </c>
      <c r="E12" s="2">
        <v>2.5899999999999999E-2</v>
      </c>
      <c r="F12" s="6">
        <f t="shared" si="1"/>
        <v>5.0178754045450601E-2</v>
      </c>
      <c r="G12" s="36">
        <f>'Moody''s Rates'!C29</f>
        <v>3.1E-2</v>
      </c>
      <c r="H12" s="6">
        <f t="shared" si="1"/>
        <v>6.3255237498925046E-2</v>
      </c>
      <c r="I12" s="37">
        <f>'Moody''s Rates'!K29</f>
        <v>4.53E-2</v>
      </c>
      <c r="J12" s="38">
        <f t="shared" si="1"/>
        <v>0.11383815871922703</v>
      </c>
      <c r="K12" s="37">
        <f>'Home Prices (Raw Data)'!C56</f>
        <v>3.218606694564885E-2</v>
      </c>
      <c r="L12" s="33"/>
    </row>
    <row r="13" spans="1:13" ht="15.4">
      <c r="A13" s="1">
        <v>1937</v>
      </c>
      <c r="B13" s="1">
        <v>10.55</v>
      </c>
      <c r="C13" s="8">
        <f t="shared" si="0"/>
        <v>0.55915000000000004</v>
      </c>
      <c r="D13" s="6">
        <v>5.2999999999999999E-2</v>
      </c>
      <c r="E13" s="2">
        <v>2.7300000000000001E-2</v>
      </c>
      <c r="F13" s="6">
        <f t="shared" si="1"/>
        <v>1.379146059646038E-2</v>
      </c>
      <c r="G13" s="36">
        <f>'Moody''s Rates'!C30</f>
        <v>3.2099999999999997E-2</v>
      </c>
      <c r="H13" s="6">
        <f t="shared" si="1"/>
        <v>2.1716541759769864E-2</v>
      </c>
      <c r="I13" s="37">
        <f>'Moody''s Rates'!K30</f>
        <v>5.7300000000000004E-2</v>
      </c>
      <c r="J13" s="38">
        <f t="shared" si="1"/>
        <v>-4.4161916839982614E-2</v>
      </c>
      <c r="K13" s="37">
        <f>'Home Prices (Raw Data)'!C57</f>
        <v>2.563398183644594E-2</v>
      </c>
      <c r="L13" s="33"/>
    </row>
    <row r="14" spans="1:13" ht="15.4">
      <c r="A14" s="1">
        <v>1938</v>
      </c>
      <c r="B14" s="1">
        <v>13.14</v>
      </c>
      <c r="C14" s="8">
        <f t="shared" si="0"/>
        <v>0.49931999999999999</v>
      </c>
      <c r="D14" s="6">
        <v>3.7999999999999999E-2</v>
      </c>
      <c r="E14" s="2">
        <v>2.5600000000000001E-2</v>
      </c>
      <c r="F14" s="6">
        <f t="shared" si="1"/>
        <v>4.2132485322046068E-2</v>
      </c>
      <c r="G14" s="36">
        <f>'Moody''s Rates'!C31</f>
        <v>3.0800000000000001E-2</v>
      </c>
      <c r="H14" s="6">
        <f t="shared" si="1"/>
        <v>4.3144126500957093E-2</v>
      </c>
      <c r="I14" s="37">
        <f>'Moody''s Rates'!K31</f>
        <v>5.2699999999999997E-2</v>
      </c>
      <c r="J14" s="38">
        <f t="shared" si="1"/>
        <v>9.2358817136874202E-2</v>
      </c>
      <c r="K14" s="37">
        <f>'Home Prices (Raw Data)'!C58</f>
        <v>-8.7369579068460324E-3</v>
      </c>
      <c r="L14" s="33"/>
    </row>
    <row r="15" spans="1:13" ht="15.4">
      <c r="A15" s="1">
        <v>1939</v>
      </c>
      <c r="B15" s="1">
        <v>12.46</v>
      </c>
      <c r="C15" s="8">
        <f t="shared" si="0"/>
        <v>0.53578000000000003</v>
      </c>
      <c r="D15" s="6">
        <v>4.2999999999999997E-2</v>
      </c>
      <c r="E15" s="2">
        <v>2.35E-2</v>
      </c>
      <c r="F15" s="6">
        <f t="shared" si="1"/>
        <v>4.4122613942060671E-2</v>
      </c>
      <c r="G15" s="36">
        <f>'Moody''s Rates'!C32</f>
        <v>2.9399999999999999E-2</v>
      </c>
      <c r="H15" s="6">
        <f t="shared" si="1"/>
        <v>4.2778935128661218E-2</v>
      </c>
      <c r="I15" s="37">
        <f>'Moody''s Rates'!K32</f>
        <v>4.9200000000000001E-2</v>
      </c>
      <c r="J15" s="38">
        <f t="shared" si="1"/>
        <v>7.9831377653461405E-2</v>
      </c>
      <c r="K15" s="37">
        <f>'Home Prices (Raw Data)'!C59</f>
        <v>-1.3016038781753836E-2</v>
      </c>
      <c r="L15" s="33"/>
    </row>
    <row r="16" spans="1:13" ht="15.4">
      <c r="A16" s="1">
        <v>1940</v>
      </c>
      <c r="B16" s="1">
        <v>10.58</v>
      </c>
      <c r="C16" s="8">
        <f t="shared" si="0"/>
        <v>0.55015999999999998</v>
      </c>
      <c r="D16" s="6">
        <v>5.1999999999999998E-2</v>
      </c>
      <c r="E16" s="2">
        <v>2.01E-2</v>
      </c>
      <c r="F16" s="6">
        <f t="shared" si="1"/>
        <v>5.4024815962845509E-2</v>
      </c>
      <c r="G16" s="36">
        <f>'Moody''s Rates'!C33</f>
        <v>2.7099999999999999E-2</v>
      </c>
      <c r="H16" s="6">
        <f t="shared" si="1"/>
        <v>4.931305690287914E-2</v>
      </c>
      <c r="I16" s="37">
        <f>'Moody''s Rates'!K33</f>
        <v>4.4500000000000005E-2</v>
      </c>
      <c r="J16" s="38">
        <f t="shared" si="1"/>
        <v>8.6481371775829569E-2</v>
      </c>
      <c r="K16" s="37">
        <f>'Home Prices (Raw Data)'!C60</f>
        <v>3.3066026593693287E-2</v>
      </c>
      <c r="L16" s="33"/>
    </row>
    <row r="17" spans="1:12" ht="15.4">
      <c r="A17" s="1">
        <v>1941</v>
      </c>
      <c r="B17" s="1">
        <v>8.69</v>
      </c>
      <c r="C17" s="8">
        <f t="shared" si="0"/>
        <v>0.53877999999999993</v>
      </c>
      <c r="D17" s="6">
        <v>6.2E-2</v>
      </c>
      <c r="E17" s="2">
        <v>2.47E-2</v>
      </c>
      <c r="F17" s="6">
        <f t="shared" si="1"/>
        <v>-2.0221975848580105E-2</v>
      </c>
      <c r="G17" s="36">
        <f>'Moody''s Rates'!C34</f>
        <v>2.7999999999999997E-2</v>
      </c>
      <c r="H17" s="6">
        <f t="shared" si="1"/>
        <v>1.9343859466896082E-2</v>
      </c>
      <c r="I17" s="37">
        <f>'Moody''s Rates'!K34</f>
        <v>4.3799999999999999E-2</v>
      </c>
      <c r="J17" s="38">
        <f t="shared" si="1"/>
        <v>5.0071728572759232E-2</v>
      </c>
      <c r="K17" s="37">
        <f>'Home Prices (Raw Data)'!C61</f>
        <v>-8.3846170362722128E-2</v>
      </c>
      <c r="L17" s="33"/>
    </row>
    <row r="18" spans="1:12" ht="15.4">
      <c r="A18" s="1">
        <v>1942</v>
      </c>
      <c r="B18" s="1">
        <v>9.77</v>
      </c>
      <c r="C18" s="8">
        <f t="shared" si="0"/>
        <v>0.58619999999999994</v>
      </c>
      <c r="D18" s="6">
        <v>0.06</v>
      </c>
      <c r="E18" s="2">
        <v>2.4899999999999999E-2</v>
      </c>
      <c r="F18" s="6">
        <f t="shared" si="1"/>
        <v>2.2948682374484164E-2</v>
      </c>
      <c r="G18" s="36">
        <f>'Moody''s Rates'!C35</f>
        <v>2.81E-2</v>
      </c>
      <c r="H18" s="6">
        <f t="shared" si="1"/>
        <v>2.7138648440788254E-2</v>
      </c>
      <c r="I18" s="37">
        <f>'Moody''s Rates'!K35</f>
        <v>4.2800000000000005E-2</v>
      </c>
      <c r="J18" s="38">
        <f t="shared" si="1"/>
        <v>5.1799010426587015E-2</v>
      </c>
      <c r="K18" s="37">
        <f>'Home Prices (Raw Data)'!C62</f>
        <v>3.3330352361186755E-2</v>
      </c>
      <c r="L18" s="33"/>
    </row>
    <row r="19" spans="1:12" ht="15.4">
      <c r="A19" s="1">
        <v>1943</v>
      </c>
      <c r="B19" s="1">
        <v>11.67</v>
      </c>
      <c r="C19" s="8">
        <f t="shared" si="0"/>
        <v>0.54849000000000003</v>
      </c>
      <c r="D19" s="6">
        <v>4.7E-2</v>
      </c>
      <c r="E19" s="2">
        <v>2.4899999999999999E-2</v>
      </c>
      <c r="F19" s="6">
        <f t="shared" si="1"/>
        <v>2.4899999999999999E-2</v>
      </c>
      <c r="G19" s="36">
        <f>'Moody''s Rates'!C36</f>
        <v>2.7400000000000001E-2</v>
      </c>
      <c r="H19" s="6">
        <f t="shared" si="1"/>
        <v>3.4151160322936289E-2</v>
      </c>
      <c r="I19" s="37">
        <f>'Moody''s Rates'!K36</f>
        <v>3.8199999999999998E-2</v>
      </c>
      <c r="J19" s="38">
        <f t="shared" si="1"/>
        <v>8.044670060105924E-2</v>
      </c>
      <c r="K19" s="37">
        <f>'Home Prices (Raw Data)'!C63</f>
        <v>0.11446269728687652</v>
      </c>
      <c r="L19" s="33"/>
    </row>
    <row r="20" spans="1:12" ht="15.4">
      <c r="A20" s="1">
        <v>1944</v>
      </c>
      <c r="B20" s="1">
        <v>13.28</v>
      </c>
      <c r="C20" s="8">
        <f t="shared" si="0"/>
        <v>0.61087999999999998</v>
      </c>
      <c r="D20" s="6">
        <v>4.5999999999999999E-2</v>
      </c>
      <c r="E20" s="2">
        <v>2.4799999999999999E-2</v>
      </c>
      <c r="F20" s="6">
        <f t="shared" si="1"/>
        <v>2.5776111579070303E-2</v>
      </c>
      <c r="G20" s="36">
        <f>'Moody''s Rates'!C37</f>
        <v>2.7000000000000003E-2</v>
      </c>
      <c r="H20" s="6">
        <f t="shared" si="1"/>
        <v>3.0864921189784809E-2</v>
      </c>
      <c r="I20" s="37">
        <f>'Moody''s Rates'!K37</f>
        <v>3.49E-2</v>
      </c>
      <c r="J20" s="38">
        <f t="shared" si="1"/>
        <v>6.5658635882561697E-2</v>
      </c>
      <c r="K20" s="37">
        <f>'Home Prices (Raw Data)'!C64</f>
        <v>0.16584229425872987</v>
      </c>
      <c r="L20" s="33"/>
    </row>
    <row r="21" spans="1:12" ht="15.4">
      <c r="A21" s="1">
        <v>1945</v>
      </c>
      <c r="B21" s="1">
        <v>17.36</v>
      </c>
      <c r="C21" s="8">
        <f t="shared" si="0"/>
        <v>0.67703999999999998</v>
      </c>
      <c r="D21" s="6">
        <v>3.9E-2</v>
      </c>
      <c r="E21" s="2">
        <v>2.3300000000000001E-2</v>
      </c>
      <c r="F21" s="6">
        <f t="shared" si="1"/>
        <v>3.8044173419237229E-2</v>
      </c>
      <c r="G21" s="36">
        <f>'Moody''s Rates'!C38</f>
        <v>2.6099999999999998E-2</v>
      </c>
      <c r="H21" s="6">
        <f t="shared" si="1"/>
        <v>3.4832273065963905E-2</v>
      </c>
      <c r="I21" s="37">
        <f>'Moody''s Rates'!K38</f>
        <v>3.1E-2</v>
      </c>
      <c r="J21" s="38">
        <f t="shared" si="1"/>
        <v>6.799865477817886E-2</v>
      </c>
      <c r="K21" s="37">
        <f>'Home Prices (Raw Data)'!C65</f>
        <v>0.11777375604134543</v>
      </c>
      <c r="L21" s="33"/>
    </row>
    <row r="22" spans="1:12" ht="15.4">
      <c r="A22" s="1">
        <v>1946</v>
      </c>
      <c r="B22" s="1">
        <v>15.3</v>
      </c>
      <c r="C22" s="8">
        <f t="shared" si="0"/>
        <v>0.59670000000000001</v>
      </c>
      <c r="D22" s="6">
        <v>3.9E-2</v>
      </c>
      <c r="E22" s="2">
        <v>2.24E-2</v>
      </c>
      <c r="F22" s="6">
        <f t="shared" si="1"/>
        <v>3.1283745375695685E-2</v>
      </c>
      <c r="G22" s="36">
        <f>'Moody''s Rates'!C39</f>
        <v>2.6099999999999998E-2</v>
      </c>
      <c r="H22" s="6">
        <f t="shared" si="1"/>
        <v>2.6099999999999998E-2</v>
      </c>
      <c r="I22" s="37">
        <f>'Moody''s Rates'!K39</f>
        <v>3.1699999999999999E-2</v>
      </c>
      <c r="J22" s="38">
        <f t="shared" si="1"/>
        <v>2.5080329773195936E-2</v>
      </c>
      <c r="K22" s="37">
        <f>'Home Prices (Raw Data)'!C66</f>
        <v>0.24101672397677776</v>
      </c>
      <c r="L22" s="33"/>
    </row>
    <row r="23" spans="1:12" ht="15.4">
      <c r="A23" s="1">
        <v>1947</v>
      </c>
      <c r="B23" s="1">
        <v>15.3</v>
      </c>
      <c r="C23" s="8">
        <f t="shared" si="0"/>
        <v>0.79559999999999997</v>
      </c>
      <c r="D23" s="6">
        <v>5.1999999999999998E-2</v>
      </c>
      <c r="E23" s="2">
        <v>2.3900000000000001E-2</v>
      </c>
      <c r="F23" s="6">
        <f t="shared" si="1"/>
        <v>9.1969680628322358E-3</v>
      </c>
      <c r="G23" s="36">
        <f>'Moody''s Rates'!C40</f>
        <v>2.86E-2</v>
      </c>
      <c r="H23" s="6">
        <f t="shared" si="1"/>
        <v>4.6213141975309652E-3</v>
      </c>
      <c r="I23" s="37">
        <f>'Moody''s Rates'!K40</f>
        <v>3.5200000000000002E-2</v>
      </c>
      <c r="J23" s="38">
        <f t="shared" si="1"/>
        <v>2.6212022665691934E-3</v>
      </c>
      <c r="K23" s="37">
        <f>'Home Prices (Raw Data)'!C67</f>
        <v>0.21263835362429684</v>
      </c>
      <c r="L23" s="33"/>
    </row>
    <row r="24" spans="1:12" ht="15.4">
      <c r="A24" s="1">
        <v>1948</v>
      </c>
      <c r="B24" s="1">
        <v>15.2</v>
      </c>
      <c r="C24" s="8">
        <f t="shared" si="0"/>
        <v>0.9728</v>
      </c>
      <c r="D24" s="6">
        <v>6.4000000000000001E-2</v>
      </c>
      <c r="E24" s="2">
        <v>2.4400000000000002E-2</v>
      </c>
      <c r="F24" s="6">
        <f t="shared" si="1"/>
        <v>1.9510369413175046E-2</v>
      </c>
      <c r="G24" s="36">
        <f>'Moody''s Rates'!C41</f>
        <v>2.7900000000000001E-2</v>
      </c>
      <c r="H24" s="6">
        <f t="shared" si="1"/>
        <v>3.4635648938441663E-2</v>
      </c>
      <c r="I24" s="37">
        <f>'Moody''s Rates'!K41</f>
        <v>3.5299999999999998E-2</v>
      </c>
      <c r="J24" s="38">
        <f t="shared" si="1"/>
        <v>3.4369595605103213E-2</v>
      </c>
      <c r="K24" s="37">
        <f>'Home Prices (Raw Data)'!C68</f>
        <v>2.058542944115116E-2</v>
      </c>
      <c r="L24" s="33"/>
    </row>
    <row r="25" spans="1:12" ht="15.4">
      <c r="A25" s="1">
        <v>1949</v>
      </c>
      <c r="B25" s="1">
        <v>16.79</v>
      </c>
      <c r="C25" s="8">
        <f t="shared" si="0"/>
        <v>1.1920899999999999</v>
      </c>
      <c r="D25" s="6">
        <v>7.0999999999999994E-2</v>
      </c>
      <c r="E25" s="2">
        <v>2.1899999999999999E-2</v>
      </c>
      <c r="F25" s="6">
        <f t="shared" si="1"/>
        <v>4.6634851827973139E-2</v>
      </c>
      <c r="G25" s="36">
        <f>'Moody''s Rates'!C42</f>
        <v>2.58E-2</v>
      </c>
      <c r="H25" s="6">
        <f t="shared" si="1"/>
        <v>4.6203589000967292E-2</v>
      </c>
      <c r="I25" s="37">
        <f>'Moody''s Rates'!K42</f>
        <v>3.3099999999999997E-2</v>
      </c>
      <c r="J25" s="38">
        <f t="shared" si="1"/>
        <v>5.3773011179658936E-2</v>
      </c>
      <c r="K25" s="37">
        <f>'Home Prices (Raw Data)'!C69</f>
        <v>8.9371881572453127E-4</v>
      </c>
      <c r="L25" s="33"/>
    </row>
    <row r="26" spans="1:12" ht="15.4">
      <c r="A26" s="1">
        <v>1950</v>
      </c>
      <c r="B26" s="1">
        <v>20.43</v>
      </c>
      <c r="C26" s="8">
        <f t="shared" si="0"/>
        <v>1.5322499999999999</v>
      </c>
      <c r="D26" s="6">
        <v>7.4999999999999997E-2</v>
      </c>
      <c r="E26" s="2">
        <v>2.3900000000000001E-2</v>
      </c>
      <c r="F26" s="6">
        <f t="shared" si="1"/>
        <v>4.2959574171096103E-3</v>
      </c>
      <c r="G26" s="36">
        <f>'Moody''s Rates'!C43</f>
        <v>2.6699999999999998E-2</v>
      </c>
      <c r="H26" s="6">
        <f t="shared" si="1"/>
        <v>1.7991888160641522E-2</v>
      </c>
      <c r="I26" s="37">
        <f>'Moody''s Rates'!K43</f>
        <v>3.2000000000000001E-2</v>
      </c>
      <c r="J26" s="38">
        <f t="shared" si="1"/>
        <v>4.2388173056720914E-2</v>
      </c>
      <c r="K26" s="37">
        <f>'Home Prices (Raw Data)'!C70</f>
        <v>3.6403899622157176E-2</v>
      </c>
      <c r="L26" s="33"/>
    </row>
    <row r="27" spans="1:12" ht="15.4">
      <c r="A27" s="1">
        <v>1951</v>
      </c>
      <c r="B27" s="1">
        <v>23.77</v>
      </c>
      <c r="C27" s="8">
        <f t="shared" si="0"/>
        <v>1.4975099999999999</v>
      </c>
      <c r="D27" s="6">
        <v>6.3E-2</v>
      </c>
      <c r="E27" s="2">
        <v>2.7E-2</v>
      </c>
      <c r="F27" s="6">
        <f t="shared" si="1"/>
        <v>-2.9531392208319886E-3</v>
      </c>
      <c r="G27" s="36">
        <f>'Moody''s Rates'!C44</f>
        <v>3.0099999999999998E-2</v>
      </c>
      <c r="H27" s="6">
        <f t="shared" si="1"/>
        <v>-2.2878940405443617E-3</v>
      </c>
      <c r="I27" s="37">
        <f>'Moody''s Rates'!K44</f>
        <v>3.61E-2</v>
      </c>
      <c r="J27" s="38">
        <f t="shared" si="1"/>
        <v>-1.9098091301369691E-3</v>
      </c>
      <c r="K27" s="37">
        <f>'Home Prices (Raw Data)'!C71</f>
        <v>6.0476642095388611E-2</v>
      </c>
      <c r="L27" s="33"/>
    </row>
    <row r="28" spans="1:12" ht="15.4">
      <c r="A28" s="1">
        <v>1952</v>
      </c>
      <c r="B28" s="1">
        <v>26.57</v>
      </c>
      <c r="C28" s="8">
        <f t="shared" si="0"/>
        <v>1.5144900000000001</v>
      </c>
      <c r="D28" s="6">
        <v>5.7000000000000002E-2</v>
      </c>
      <c r="E28" s="2">
        <v>2.75E-2</v>
      </c>
      <c r="F28" s="6">
        <f t="shared" si="1"/>
        <v>2.2679961918305656E-2</v>
      </c>
      <c r="G28" s="36">
        <f>'Moody''s Rates'!C45</f>
        <v>2.9700000000000001E-2</v>
      </c>
      <c r="H28" s="6">
        <f t="shared" si="1"/>
        <v>3.3517311049082718E-2</v>
      </c>
      <c r="I28" s="37">
        <f>'Moody''s Rates'!K45</f>
        <v>3.5099999999999999E-2</v>
      </c>
      <c r="J28" s="38">
        <f t="shared" si="1"/>
        <v>4.4412415047400768E-2</v>
      </c>
      <c r="K28" s="37">
        <f>'Home Prices (Raw Data)'!C72</f>
        <v>4.4066304183902893E-2</v>
      </c>
      <c r="L28" s="33"/>
    </row>
    <row r="29" spans="1:12" ht="15.4">
      <c r="A29" s="1">
        <v>1953</v>
      </c>
      <c r="B29" s="1">
        <v>24.81</v>
      </c>
      <c r="C29" s="8">
        <f t="shared" si="0"/>
        <v>1.4389799999999999</v>
      </c>
      <c r="D29" s="6">
        <v>5.8000000000000003E-2</v>
      </c>
      <c r="E29" s="2">
        <v>2.5899999999999999E-2</v>
      </c>
      <c r="F29" s="6">
        <f t="shared" si="1"/>
        <v>4.1438402589088513E-2</v>
      </c>
      <c r="G29" s="36">
        <f>'Moody''s Rates'!C46</f>
        <v>3.1300000000000001E-2</v>
      </c>
      <c r="H29" s="6">
        <f t="shared" si="1"/>
        <v>1.6141779106714601E-2</v>
      </c>
      <c r="I29" s="37">
        <f>'Moody''s Rates'!K46</f>
        <v>3.7400000000000003E-2</v>
      </c>
      <c r="J29" s="38">
        <f t="shared" si="1"/>
        <v>1.6201123818443276E-2</v>
      </c>
      <c r="K29" s="37">
        <f>'Home Prices (Raw Data)'!C73</f>
        <v>0.11516624666555342</v>
      </c>
      <c r="L29" s="33"/>
    </row>
    <row r="30" spans="1:12" ht="15.4">
      <c r="A30" s="1">
        <v>1954</v>
      </c>
      <c r="B30" s="1">
        <v>35.979999999999997</v>
      </c>
      <c r="C30" s="8">
        <f t="shared" si="0"/>
        <v>1.8709599999999997</v>
      </c>
      <c r="D30" s="6">
        <v>5.1999999999999998E-2</v>
      </c>
      <c r="E30" s="2">
        <v>2.5100000000000001E-2</v>
      </c>
      <c r="F30" s="6">
        <f t="shared" si="1"/>
        <v>3.2898034558095555E-2</v>
      </c>
      <c r="G30" s="36">
        <f>'Moody''s Rates'!C47</f>
        <v>2.8999999999999998E-2</v>
      </c>
      <c r="H30" s="6">
        <f t="shared" si="1"/>
        <v>5.1019973661012748E-2</v>
      </c>
      <c r="I30" s="37">
        <f>'Moody''s Rates'!K47</f>
        <v>3.4500000000000003E-2</v>
      </c>
      <c r="J30" s="38">
        <f t="shared" si="1"/>
        <v>6.1579051817707856E-2</v>
      </c>
      <c r="K30" s="37">
        <f>'Home Prices (Raw Data)'!C74</f>
        <v>9.2270580517745948E-3</v>
      </c>
      <c r="L30" s="33"/>
    </row>
    <row r="31" spans="1:12" ht="15.4">
      <c r="A31" s="1">
        <v>1955</v>
      </c>
      <c r="B31" s="1">
        <v>45.48</v>
      </c>
      <c r="C31" s="8">
        <f t="shared" si="0"/>
        <v>2.2285200000000001</v>
      </c>
      <c r="D31" s="6">
        <v>4.9000000000000002E-2</v>
      </c>
      <c r="E31" s="2">
        <v>2.9600000000000001E-2</v>
      </c>
      <c r="F31" s="6">
        <f t="shared" si="1"/>
        <v>-1.3364391288618781E-2</v>
      </c>
      <c r="G31" s="36">
        <f>'Moody''s Rates'!C48</f>
        <v>3.15E-2</v>
      </c>
      <c r="H31" s="6">
        <f t="shared" si="1"/>
        <v>7.8368165305447712E-3</v>
      </c>
      <c r="I31" s="37">
        <f>'Moody''s Rates'!K48</f>
        <v>3.6200000000000003E-2</v>
      </c>
      <c r="J31" s="38">
        <f t="shared" si="1"/>
        <v>2.044690004344954E-2</v>
      </c>
      <c r="K31" s="37">
        <f>'Home Prices (Raw Data)'!C75</f>
        <v>0</v>
      </c>
      <c r="L31" s="33"/>
    </row>
    <row r="32" spans="1:12" ht="15.4">
      <c r="A32" s="1">
        <v>1956</v>
      </c>
      <c r="B32" s="1">
        <v>46.67</v>
      </c>
      <c r="C32" s="8">
        <f t="shared" si="0"/>
        <v>2.1934900000000002</v>
      </c>
      <c r="D32" s="6">
        <v>4.7E-2</v>
      </c>
      <c r="E32" s="2">
        <v>3.5900000000000001E-2</v>
      </c>
      <c r="F32" s="6">
        <f t="shared" si="1"/>
        <v>-2.2557738173154165E-2</v>
      </c>
      <c r="G32" s="36">
        <f>'Moody''s Rates'!C49</f>
        <v>3.7499999999999999E-2</v>
      </c>
      <c r="H32" s="6">
        <f t="shared" si="1"/>
        <v>-1.7776723510078835E-2</v>
      </c>
      <c r="I32" s="37">
        <f>'Moody''s Rates'!K49</f>
        <v>4.3700000000000003E-2</v>
      </c>
      <c r="J32" s="38">
        <f t="shared" si="1"/>
        <v>-2.3526541979620903E-2</v>
      </c>
      <c r="K32" s="37">
        <f>'Home Prices (Raw Data)'!C76</f>
        <v>9.1426978479813847E-3</v>
      </c>
      <c r="L32" s="33"/>
    </row>
    <row r="33" spans="1:12" ht="15.4">
      <c r="A33" s="1">
        <v>1957</v>
      </c>
      <c r="B33" s="1">
        <v>39.99</v>
      </c>
      <c r="C33" s="8">
        <f t="shared" si="0"/>
        <v>1.79955</v>
      </c>
      <c r="D33" s="6">
        <v>4.4999999999999998E-2</v>
      </c>
      <c r="E33" s="2">
        <v>3.2099999999999997E-2</v>
      </c>
      <c r="F33" s="6">
        <f t="shared" si="1"/>
        <v>6.7970128466249904E-2</v>
      </c>
      <c r="G33" s="36">
        <f>'Moody''s Rates'!C50</f>
        <v>3.8100000000000002E-2</v>
      </c>
      <c r="H33" s="6">
        <f t="shared" si="1"/>
        <v>3.2587104439882129E-2</v>
      </c>
      <c r="I33" s="37">
        <f>'Moody''s Rates'!K50</f>
        <v>5.0300000000000004E-2</v>
      </c>
      <c r="J33" s="38">
        <f t="shared" si="1"/>
        <v>-7.1892844025423647E-3</v>
      </c>
      <c r="K33" s="37">
        <f>'Home Prices (Raw Data)'!C77</f>
        <v>2.7180282449021931E-2</v>
      </c>
      <c r="L33" s="33"/>
    </row>
    <row r="34" spans="1:12" ht="15.4">
      <c r="A34" s="1">
        <v>1958</v>
      </c>
      <c r="B34" s="1">
        <v>55.21</v>
      </c>
      <c r="C34" s="8">
        <f t="shared" si="0"/>
        <v>2.2636100000000003</v>
      </c>
      <c r="D34" s="6">
        <v>4.1000000000000002E-2</v>
      </c>
      <c r="E34" s="2">
        <v>3.8600000000000002E-2</v>
      </c>
      <c r="F34" s="6">
        <f t="shared" si="1"/>
        <v>-2.0990181755274694E-2</v>
      </c>
      <c r="G34" s="36">
        <f>'Moody''s Rates'!C51</f>
        <v>4.0800000000000003E-2</v>
      </c>
      <c r="H34" s="6">
        <f t="shared" si="1"/>
        <v>1.6287536451366026E-2</v>
      </c>
      <c r="I34" s="37">
        <f>'Moody''s Rates'!K51</f>
        <v>4.8499999999999995E-2</v>
      </c>
      <c r="J34" s="38">
        <f t="shared" si="1"/>
        <v>6.4300928973360261E-2</v>
      </c>
      <c r="K34" s="37">
        <f>'Home Prices (Raw Data)'!C78</f>
        <v>6.6154322364195828E-3</v>
      </c>
      <c r="L34" s="33"/>
    </row>
    <row r="35" spans="1:12" ht="15.4">
      <c r="A35" s="1">
        <v>1959</v>
      </c>
      <c r="B35" s="1">
        <v>59.89</v>
      </c>
      <c r="C35" s="8">
        <f t="shared" si="0"/>
        <v>1.9763700000000002</v>
      </c>
      <c r="D35" s="6">
        <v>3.3000000000000002E-2</v>
      </c>
      <c r="E35" s="2">
        <v>4.6899999999999997E-2</v>
      </c>
      <c r="F35" s="6">
        <f t="shared" si="1"/>
        <v>-2.6466312591385065E-2</v>
      </c>
      <c r="G35" s="36">
        <f>'Moody''s Rates'!C52</f>
        <v>4.58E-2</v>
      </c>
      <c r="H35" s="6">
        <f t="shared" si="1"/>
        <v>1.3915704024072828E-3</v>
      </c>
      <c r="I35" s="37">
        <f>'Moody''s Rates'!K52</f>
        <v>5.28E-2</v>
      </c>
      <c r="J35" s="38">
        <f t="shared" si="1"/>
        <v>1.5743430895022732E-2</v>
      </c>
      <c r="K35" s="37">
        <f>'Home Prices (Raw Data)'!C79</f>
        <v>1.0951055527008702E-3</v>
      </c>
      <c r="L35" s="33"/>
    </row>
    <row r="36" spans="1:12" ht="15.4">
      <c r="A36" s="1">
        <v>1960</v>
      </c>
      <c r="B36" s="1">
        <v>58.11</v>
      </c>
      <c r="C36" s="8">
        <v>1.9815510000000001</v>
      </c>
      <c r="D36" s="6">
        <f>C36/B35</f>
        <v>3.3086508599098348E-2</v>
      </c>
      <c r="E36" s="2">
        <v>3.8399999999999997E-2</v>
      </c>
      <c r="F36" s="6">
        <f t="shared" si="1"/>
        <v>0.11639503690963365</v>
      </c>
      <c r="G36" s="36">
        <f>'Moody''s Rates'!C53</f>
        <v>4.3499999999999997E-2</v>
      </c>
      <c r="H36" s="6">
        <f t="shared" si="1"/>
        <v>6.4134222381996453E-2</v>
      </c>
      <c r="I36" s="37">
        <f>'Moody''s Rates'!K53</f>
        <v>5.0999999999999997E-2</v>
      </c>
      <c r="J36" s="38">
        <f t="shared" si="1"/>
        <v>6.6631871633034342E-2</v>
      </c>
      <c r="K36" s="37">
        <f>'Home Prices (Raw Data)'!C80</f>
        <v>7.6586744032887122E-3</v>
      </c>
      <c r="L36" s="33"/>
    </row>
    <row r="37" spans="1:12" ht="15.4">
      <c r="A37" s="1">
        <v>1961</v>
      </c>
      <c r="B37" s="1">
        <v>71.55</v>
      </c>
      <c r="C37" s="8">
        <v>2.0391750000000002</v>
      </c>
      <c r="D37" s="6">
        <f t="shared" ref="D37:D100" si="2">C37/B36</f>
        <v>3.5091636551368099E-2</v>
      </c>
      <c r="E37" s="2">
        <v>4.0599999999999997E-2</v>
      </c>
      <c r="F37" s="6">
        <f t="shared" si="1"/>
        <v>2.0609208076323167E-2</v>
      </c>
      <c r="G37" s="36">
        <f>'Moody''s Rates'!C54</f>
        <v>4.4199999999999996E-2</v>
      </c>
      <c r="H37" s="6">
        <f t="shared" si="1"/>
        <v>3.7939245798155677E-2</v>
      </c>
      <c r="I37" s="37">
        <f>'Moody''s Rates'!K54</f>
        <v>5.0999999999999997E-2</v>
      </c>
      <c r="J37" s="38">
        <f t="shared" si="1"/>
        <v>5.0999999999999997E-2</v>
      </c>
      <c r="K37" s="37">
        <f>'Home Prices (Raw Data)'!C81</f>
        <v>9.7716517211834386E-3</v>
      </c>
      <c r="L37" s="33"/>
    </row>
    <row r="38" spans="1:12" ht="15.4">
      <c r="A38" s="1">
        <v>1962</v>
      </c>
      <c r="B38" s="1">
        <v>63.1</v>
      </c>
      <c r="C38" s="8">
        <v>2.1454</v>
      </c>
      <c r="D38" s="6">
        <f t="shared" si="2"/>
        <v>2.9984626135569532E-2</v>
      </c>
      <c r="E38" s="2">
        <v>3.8600000000000002E-2</v>
      </c>
      <c r="F38" s="6">
        <f t="shared" si="1"/>
        <v>5.693544054008462E-2</v>
      </c>
      <c r="G38" s="36">
        <f>'Moody''s Rates'!C55</f>
        <v>4.24E-2</v>
      </c>
      <c r="H38" s="6">
        <f t="shared" si="1"/>
        <v>5.8626733145309841E-2</v>
      </c>
      <c r="I38" s="37">
        <f>'Moody''s Rates'!K55</f>
        <v>4.9200000000000001E-2</v>
      </c>
      <c r="J38" s="38">
        <f t="shared" si="1"/>
        <v>6.4953279936065755E-2</v>
      </c>
      <c r="K38" s="37">
        <f>'Home Prices (Raw Data)'!C82</f>
        <v>3.2259132567571402E-3</v>
      </c>
      <c r="L38" s="33"/>
    </row>
    <row r="39" spans="1:12" ht="15.4">
      <c r="A39" s="1">
        <v>1963</v>
      </c>
      <c r="B39" s="1">
        <v>75.02</v>
      </c>
      <c r="C39" s="8">
        <v>2.3481260000000002</v>
      </c>
      <c r="D39" s="6">
        <f t="shared" si="2"/>
        <v>3.7212773375594296E-2</v>
      </c>
      <c r="E39" s="2">
        <v>4.1300000000000003E-2</v>
      </c>
      <c r="F39" s="6">
        <f>((E38*(1-(1+E39)^(-10))/E39+1/(1+E39)^10)-1)+E38</f>
        <v>1.6841620739546127E-2</v>
      </c>
      <c r="G39" s="36">
        <f>'Moody''s Rates'!C56</f>
        <v>4.3499999999999997E-2</v>
      </c>
      <c r="H39" s="6">
        <f t="shared" ref="H39:J101" si="3">((G38*(1-(1+G39)^(-10))/G39+1/(1+G39)^10)-1)+G38</f>
        <v>3.3631458860784454E-2</v>
      </c>
      <c r="I39" s="37">
        <f>'Moody''s Rates'!K56</f>
        <v>4.8499999999999995E-2</v>
      </c>
      <c r="J39" s="38">
        <f t="shared" si="3"/>
        <v>5.4644805711862345E-2</v>
      </c>
      <c r="K39" s="37">
        <f>'Home Prices (Raw Data)'!C83</f>
        <v>2.1436503273133845E-2</v>
      </c>
      <c r="L39" s="33"/>
    </row>
    <row r="40" spans="1:12" ht="15.4">
      <c r="A40" s="1">
        <v>1964</v>
      </c>
      <c r="B40" s="1">
        <v>84.75</v>
      </c>
      <c r="C40" s="8">
        <v>2.5848749999999998</v>
      </c>
      <c r="D40" s="6">
        <f t="shared" si="2"/>
        <v>3.4455811783524394E-2</v>
      </c>
      <c r="E40" s="2">
        <v>4.1799999999999997E-2</v>
      </c>
      <c r="F40" s="6">
        <f t="shared" ref="F40:F89" si="4">((E39*(1-(1+E40)^(-10))/E40+1/(1+E40)^10)-1)+E39</f>
        <v>3.7280648911540815E-2</v>
      </c>
      <c r="G40" s="36">
        <f>'Moody''s Rates'!C57</f>
        <v>4.4400000000000002E-2</v>
      </c>
      <c r="H40" s="6">
        <f t="shared" si="3"/>
        <v>3.6357498175775174E-2</v>
      </c>
      <c r="I40" s="37">
        <f>'Moody''s Rates'!K57</f>
        <v>4.8099999999999997E-2</v>
      </c>
      <c r="J40" s="38">
        <f t="shared" si="3"/>
        <v>5.1617392722850271E-2</v>
      </c>
      <c r="K40" s="37">
        <f>'Home Prices (Raw Data)'!C84</f>
        <v>1.2591593946911894E-2</v>
      </c>
      <c r="L40" s="33"/>
    </row>
    <row r="41" spans="1:12" ht="15.4">
      <c r="A41" s="1">
        <v>1965</v>
      </c>
      <c r="B41" s="1">
        <v>92.43</v>
      </c>
      <c r="C41" s="8">
        <v>2.8283580000000001</v>
      </c>
      <c r="D41" s="6">
        <f t="shared" si="2"/>
        <v>3.3372955752212392E-2</v>
      </c>
      <c r="E41" s="2">
        <v>4.6199999999999998E-2</v>
      </c>
      <c r="F41" s="6">
        <f t="shared" si="4"/>
        <v>7.1885509359262342E-3</v>
      </c>
      <c r="G41" s="36">
        <f>'Moody''s Rates'!C58</f>
        <v>4.6799999999999994E-2</v>
      </c>
      <c r="H41" s="6">
        <f t="shared" si="3"/>
        <v>2.5576433994000343E-2</v>
      </c>
      <c r="I41" s="37">
        <f>'Moody''s Rates'!K58</f>
        <v>5.0199999999999995E-2</v>
      </c>
      <c r="J41" s="38">
        <f t="shared" si="3"/>
        <v>3.1900094622538809E-2</v>
      </c>
      <c r="K41" s="37">
        <f>'Home Prices (Raw Data)'!C85</f>
        <v>1.658002301182071E-2</v>
      </c>
      <c r="L41" s="33"/>
    </row>
    <row r="42" spans="1:12" ht="15.4">
      <c r="A42" s="1">
        <v>1966</v>
      </c>
      <c r="B42" s="1">
        <v>80.33</v>
      </c>
      <c r="C42" s="8">
        <v>2.8838469999999998</v>
      </c>
      <c r="D42" s="6">
        <f t="shared" si="2"/>
        <v>3.1200335388942981E-2</v>
      </c>
      <c r="E42" s="2">
        <v>4.8399999999999999E-2</v>
      </c>
      <c r="F42" s="6">
        <f t="shared" si="4"/>
        <v>2.9079409324299622E-2</v>
      </c>
      <c r="G42" s="36">
        <f>'Moody''s Rates'!C59</f>
        <v>5.3899999999999997E-2</v>
      </c>
      <c r="H42" s="6">
        <f t="shared" si="3"/>
        <v>-7.0006457686958151E-3</v>
      </c>
      <c r="I42" s="37">
        <f>'Moody''s Rates'!K59</f>
        <v>6.1799999999999994E-2</v>
      </c>
      <c r="J42" s="38">
        <f t="shared" si="3"/>
        <v>-3.4453615975776369E-2</v>
      </c>
      <c r="K42" s="37">
        <f>'Home Prices (Raw Data)'!C86</f>
        <v>1.2232822442514779E-2</v>
      </c>
      <c r="L42" s="33"/>
    </row>
    <row r="43" spans="1:12" ht="15.4">
      <c r="A43" s="1">
        <v>1967</v>
      </c>
      <c r="B43" s="1">
        <v>96.47</v>
      </c>
      <c r="C43" s="8">
        <v>2.9809230000000002</v>
      </c>
      <c r="D43" s="6">
        <f t="shared" si="2"/>
        <v>3.7108465081538658E-2</v>
      </c>
      <c r="E43" s="2">
        <v>5.7000000000000002E-2</v>
      </c>
      <c r="F43" s="6">
        <f t="shared" si="4"/>
        <v>-1.5806209932824666E-2</v>
      </c>
      <c r="G43" s="36">
        <f>'Moody''s Rates'!C60</f>
        <v>6.1900000000000004E-2</v>
      </c>
      <c r="H43" s="6">
        <f t="shared" si="3"/>
        <v>-4.4542767260931718E-3</v>
      </c>
      <c r="I43" s="37">
        <f>'Moody''s Rates'!K60</f>
        <v>6.93E-2</v>
      </c>
      <c r="J43" s="38">
        <f t="shared" si="3"/>
        <v>8.9522661484468247E-3</v>
      </c>
      <c r="K43" s="37">
        <f>'Home Prices (Raw Data)'!C87</f>
        <v>2.3161882062522565E-2</v>
      </c>
      <c r="L43" s="33"/>
    </row>
    <row r="44" spans="1:12" ht="15.4">
      <c r="A44" s="1">
        <v>1968</v>
      </c>
      <c r="B44" s="1">
        <v>103.86</v>
      </c>
      <c r="C44" s="8">
        <v>3.0430980000000001</v>
      </c>
      <c r="D44" s="6">
        <f t="shared" si="2"/>
        <v>3.1544500881102937E-2</v>
      </c>
      <c r="E44" s="2">
        <v>6.0299999999999999E-2</v>
      </c>
      <c r="F44" s="6">
        <f t="shared" si="4"/>
        <v>3.2746196950768365E-2</v>
      </c>
      <c r="G44" s="36">
        <f>'Moody''s Rates'!C61</f>
        <v>6.4500000000000002E-2</v>
      </c>
      <c r="H44" s="6">
        <f t="shared" si="3"/>
        <v>4.3165229057601943E-2</v>
      </c>
      <c r="I44" s="37">
        <f>'Moody''s Rates'!K61</f>
        <v>7.2300000000000003E-2</v>
      </c>
      <c r="J44" s="38">
        <f t="shared" si="3"/>
        <v>4.845146224309746E-2</v>
      </c>
      <c r="K44" s="37">
        <f>'Home Prices (Raw Data)'!C88</f>
        <v>4.1338761655570933E-2</v>
      </c>
      <c r="L44" s="33"/>
    </row>
    <row r="45" spans="1:12" ht="15.4">
      <c r="A45" s="1">
        <v>1969</v>
      </c>
      <c r="B45" s="1">
        <v>92.06</v>
      </c>
      <c r="C45" s="8">
        <v>3.2405119999999998</v>
      </c>
      <c r="D45" s="6">
        <f t="shared" si="2"/>
        <v>3.1200770267668012E-2</v>
      </c>
      <c r="E45" s="2">
        <v>7.6499999999999999E-2</v>
      </c>
      <c r="F45" s="6">
        <f t="shared" si="4"/>
        <v>-5.0140493209926106E-2</v>
      </c>
      <c r="G45" s="36">
        <f>'Moody''s Rates'!C62</f>
        <v>7.7199999999999991E-2</v>
      </c>
      <c r="H45" s="6">
        <f t="shared" si="3"/>
        <v>-2.1804851328215524E-2</v>
      </c>
      <c r="I45" s="37">
        <f>'Moody''s Rates'!K62</f>
        <v>8.6500000000000007E-2</v>
      </c>
      <c r="J45" s="38">
        <f t="shared" si="3"/>
        <v>-2.0251642507921469E-2</v>
      </c>
      <c r="K45" s="37">
        <f>'Home Prices (Raw Data)'!C89</f>
        <v>6.9943498504573487E-2</v>
      </c>
      <c r="L45" s="33"/>
    </row>
    <row r="46" spans="1:12" ht="15.4">
      <c r="A46" s="1">
        <v>1970</v>
      </c>
      <c r="B46" s="1">
        <v>92.15</v>
      </c>
      <c r="C46" s="8">
        <v>3.1883900000000001</v>
      </c>
      <c r="D46" s="6">
        <f t="shared" si="2"/>
        <v>3.4633825765804913E-2</v>
      </c>
      <c r="E46" s="2">
        <v>6.3899999999999998E-2</v>
      </c>
      <c r="F46" s="6">
        <f t="shared" si="4"/>
        <v>0.16754737183412338</v>
      </c>
      <c r="G46" s="36">
        <f>'Moody''s Rates'!C63</f>
        <v>7.6399999999999996E-2</v>
      </c>
      <c r="H46" s="6">
        <f t="shared" si="3"/>
        <v>8.2656333516766323E-2</v>
      </c>
      <c r="I46" s="37">
        <f>'Moody''s Rates'!K63</f>
        <v>9.1199999999999989E-2</v>
      </c>
      <c r="J46" s="38">
        <f t="shared" si="3"/>
        <v>5.6495676569888728E-2</v>
      </c>
      <c r="K46" s="37">
        <f>'Home Prices (Raw Data)'!C90</f>
        <v>8.2154964403586828E-2</v>
      </c>
      <c r="L46" s="33"/>
    </row>
    <row r="47" spans="1:12" ht="15.4">
      <c r="A47" s="1">
        <v>1971</v>
      </c>
      <c r="B47" s="1">
        <v>102.09</v>
      </c>
      <c r="C47" s="8">
        <v>3.16479</v>
      </c>
      <c r="D47" s="6">
        <f t="shared" si="2"/>
        <v>3.4343895822029298E-2</v>
      </c>
      <c r="E47" s="2">
        <v>5.9299999999999999E-2</v>
      </c>
      <c r="F47" s="6">
        <f t="shared" si="4"/>
        <v>9.7868966197122972E-2</v>
      </c>
      <c r="G47" s="36">
        <f>'Moody''s Rates'!C64</f>
        <v>7.2499999999999995E-2</v>
      </c>
      <c r="H47" s="6">
        <f t="shared" si="3"/>
        <v>0.10347820104742242</v>
      </c>
      <c r="I47" s="37">
        <f>'Moody''s Rates'!K64</f>
        <v>8.3800000000000013E-2</v>
      </c>
      <c r="J47" s="38">
        <f t="shared" si="3"/>
        <v>0.1400146617421994</v>
      </c>
      <c r="K47" s="37">
        <f>'Home Prices (Raw Data)'!C91</f>
        <v>4.2449238297220138E-2</v>
      </c>
      <c r="L47" s="33"/>
    </row>
    <row r="48" spans="1:12" ht="15.4">
      <c r="A48" s="1">
        <v>1972</v>
      </c>
      <c r="B48" s="1">
        <v>118.05</v>
      </c>
      <c r="C48" s="8">
        <v>3.1873499999999999</v>
      </c>
      <c r="D48" s="6">
        <f t="shared" si="2"/>
        <v>3.1220981486923302E-2</v>
      </c>
      <c r="E48" s="2">
        <v>6.3600000000000004E-2</v>
      </c>
      <c r="F48" s="6">
        <f t="shared" si="4"/>
        <v>2.818449050444969E-2</v>
      </c>
      <c r="G48" s="36">
        <f>'Moody''s Rates'!C65</f>
        <v>7.0800000000000002E-2</v>
      </c>
      <c r="H48" s="6">
        <f t="shared" si="3"/>
        <v>8.4396058968845042E-2</v>
      </c>
      <c r="I48" s="37">
        <f>'Moody''s Rates'!K65</f>
        <v>7.9299999999999995E-2</v>
      </c>
      <c r="J48" s="38">
        <f t="shared" si="3"/>
        <v>0.11409093579389698</v>
      </c>
      <c r="K48" s="37">
        <f>'Home Prices (Raw Data)'!C92</f>
        <v>2.9757435694738765E-2</v>
      </c>
      <c r="L48" s="33"/>
    </row>
    <row r="49" spans="1:12" ht="15.4">
      <c r="A49" s="1">
        <v>1973</v>
      </c>
      <c r="B49" s="1">
        <v>97.55</v>
      </c>
      <c r="C49" s="8">
        <v>3.6093500000000001</v>
      </c>
      <c r="D49" s="6">
        <f t="shared" si="2"/>
        <v>3.0574756459127491E-2</v>
      </c>
      <c r="E49" s="2">
        <v>6.7400000000000002E-2</v>
      </c>
      <c r="F49" s="6">
        <f t="shared" si="4"/>
        <v>3.6586646024150085E-2</v>
      </c>
      <c r="G49" s="36">
        <f>'Moody''s Rates'!C66</f>
        <v>7.6799999999999993E-2</v>
      </c>
      <c r="H49" s="6">
        <f t="shared" si="3"/>
        <v>2.9951880508655077E-2</v>
      </c>
      <c r="I49" s="37">
        <f>'Moody''s Rates'!K66</f>
        <v>8.48E-2</v>
      </c>
      <c r="J49" s="38">
        <f t="shared" si="3"/>
        <v>4.3180404854323576E-2</v>
      </c>
      <c r="K49" s="37">
        <f>'Home Prices (Raw Data)'!C93</f>
        <v>3.4220275692410596E-2</v>
      </c>
      <c r="L49" s="33"/>
    </row>
    <row r="50" spans="1:12" ht="15.4">
      <c r="A50" s="1">
        <v>1974</v>
      </c>
      <c r="B50" s="1">
        <v>68.56</v>
      </c>
      <c r="C50" s="8">
        <v>3.7228080000000001</v>
      </c>
      <c r="D50" s="6">
        <f t="shared" si="2"/>
        <v>3.8163075345976426E-2</v>
      </c>
      <c r="E50" s="2">
        <v>7.4300000000000005E-2</v>
      </c>
      <c r="F50" s="6">
        <f t="shared" si="4"/>
        <v>1.9886086932378574E-2</v>
      </c>
      <c r="G50" s="36">
        <f>'Moody''s Rates'!C67</f>
        <v>8.8900000000000007E-2</v>
      </c>
      <c r="H50" s="6">
        <f t="shared" si="3"/>
        <v>-1.2310591515394126E-3</v>
      </c>
      <c r="I50" s="37">
        <f>'Moody''s Rates'!K67</f>
        <v>0.10630000000000001</v>
      </c>
      <c r="J50" s="38">
        <f t="shared" si="3"/>
        <v>-4.3807197977191667E-2</v>
      </c>
      <c r="K50" s="37">
        <f>'Home Prices (Raw Data)'!C94</f>
        <v>0.10073521479539305</v>
      </c>
      <c r="L50" s="33"/>
    </row>
    <row r="51" spans="1:12" ht="15.4">
      <c r="A51" s="1">
        <v>1975</v>
      </c>
      <c r="B51" s="1">
        <v>90.19</v>
      </c>
      <c r="C51" s="8">
        <v>3.7338659999999999</v>
      </c>
      <c r="D51" s="6">
        <f t="shared" si="2"/>
        <v>5.4461289381563589E-2</v>
      </c>
      <c r="E51" s="2">
        <v>0.08</v>
      </c>
      <c r="F51" s="6">
        <f t="shared" si="4"/>
        <v>3.6052536026033838E-2</v>
      </c>
      <c r="G51" s="36">
        <f>'Moody''s Rates'!C68</f>
        <v>8.7899999999999992E-2</v>
      </c>
      <c r="H51" s="6">
        <f t="shared" si="3"/>
        <v>9.5377407275910403E-2</v>
      </c>
      <c r="I51" s="37">
        <f>'Moody''s Rates'!K68</f>
        <v>0.1056</v>
      </c>
      <c r="J51" s="38">
        <f t="shared" si="3"/>
        <v>0.11049964074144952</v>
      </c>
      <c r="K51" s="37">
        <f>'Home Prices (Raw Data)'!C95</f>
        <v>6.7575900936054811E-2</v>
      </c>
      <c r="L51" s="33"/>
    </row>
    <row r="52" spans="1:12" ht="15.4">
      <c r="A52" s="1">
        <v>1976</v>
      </c>
      <c r="B52" s="1">
        <v>107.46</v>
      </c>
      <c r="C52" s="8">
        <v>4.2231779999999999</v>
      </c>
      <c r="D52" s="6">
        <f t="shared" si="2"/>
        <v>4.682534649074177E-2</v>
      </c>
      <c r="E52" s="2">
        <v>6.8699999999999997E-2</v>
      </c>
      <c r="F52" s="6">
        <f t="shared" si="4"/>
        <v>0.1598456074290921</v>
      </c>
      <c r="G52" s="36">
        <f>'Moody''s Rates'!C69</f>
        <v>7.980000000000001E-2</v>
      </c>
      <c r="H52" s="6">
        <f t="shared" si="3"/>
        <v>0.1423007238393551</v>
      </c>
      <c r="I52" s="37">
        <f>'Moody''s Rates'!K69</f>
        <v>9.1199999999999989E-2</v>
      </c>
      <c r="J52" s="38">
        <f t="shared" si="3"/>
        <v>0.19752813987098014</v>
      </c>
      <c r="K52" s="37">
        <f>'Home Prices (Raw Data)'!C96</f>
        <v>8.1979599546656567E-2</v>
      </c>
      <c r="L52" s="33"/>
    </row>
    <row r="53" spans="1:12" ht="15.4">
      <c r="A53" s="1">
        <v>1977</v>
      </c>
      <c r="B53" s="1">
        <v>95.1</v>
      </c>
      <c r="C53" s="8">
        <v>4.85961</v>
      </c>
      <c r="D53" s="6">
        <f t="shared" si="2"/>
        <v>4.5222501395868232E-2</v>
      </c>
      <c r="E53" s="2">
        <v>7.6899999999999996E-2</v>
      </c>
      <c r="F53" s="6">
        <f t="shared" si="4"/>
        <v>1.2899606071070449E-2</v>
      </c>
      <c r="G53" s="36">
        <f>'Moody''s Rates'!C70</f>
        <v>8.1900000000000001E-2</v>
      </c>
      <c r="H53" s="6">
        <f t="shared" si="3"/>
        <v>6.5828795102617438E-2</v>
      </c>
      <c r="I53" s="37">
        <f>'Moody''s Rates'!K70</f>
        <v>8.9900000000000008E-2</v>
      </c>
      <c r="J53" s="38">
        <f t="shared" si="3"/>
        <v>9.9546628520906386E-2</v>
      </c>
      <c r="K53" s="37">
        <f>'Home Prices (Raw Data)'!C97</f>
        <v>0.14664804469273762</v>
      </c>
      <c r="L53" s="33"/>
    </row>
    <row r="54" spans="1:12" ht="15.4">
      <c r="A54" s="1">
        <v>1978</v>
      </c>
      <c r="B54" s="1">
        <v>96.11</v>
      </c>
      <c r="C54" s="8">
        <v>5.1803290000000004</v>
      </c>
      <c r="D54" s="6">
        <f t="shared" si="2"/>
        <v>5.4472439537329137E-2</v>
      </c>
      <c r="E54" s="2">
        <v>9.01E-2</v>
      </c>
      <c r="F54" s="6">
        <f t="shared" si="4"/>
        <v>-7.7758069075086478E-3</v>
      </c>
      <c r="G54" s="36">
        <f>'Moody''s Rates'!C71</f>
        <v>9.1600000000000001E-2</v>
      </c>
      <c r="H54" s="6">
        <f t="shared" si="3"/>
        <v>2.0084743079482631E-2</v>
      </c>
      <c r="I54" s="37">
        <f>'Moody''s Rates'!K71</f>
        <v>9.9399999999999988E-2</v>
      </c>
      <c r="J54" s="38">
        <f t="shared" si="3"/>
        <v>3.1375849771690861E-2</v>
      </c>
      <c r="K54" s="37">
        <f>'Home Prices (Raw Data)'!C98</f>
        <v>0.15712545676004863</v>
      </c>
      <c r="L54" s="33"/>
    </row>
    <row r="55" spans="1:12" ht="15.4">
      <c r="A55" s="1">
        <v>1979</v>
      </c>
      <c r="B55" s="1">
        <v>107.94</v>
      </c>
      <c r="C55" s="8">
        <v>5.9690820000000002</v>
      </c>
      <c r="D55" s="6">
        <f t="shared" si="2"/>
        <v>6.2106773488710854E-2</v>
      </c>
      <c r="E55" s="2">
        <v>0.10390000000000001</v>
      </c>
      <c r="F55" s="6">
        <f t="shared" si="4"/>
        <v>6.7072031247235459E-3</v>
      </c>
      <c r="G55" s="36">
        <f>'Moody''s Rates'!C72</f>
        <v>0.1074</v>
      </c>
      <c r="H55" s="6">
        <f t="shared" si="3"/>
        <v>-2.4730935003710736E-3</v>
      </c>
      <c r="I55" s="37">
        <f>'Moody''s Rates'!K72</f>
        <v>0.1206</v>
      </c>
      <c r="J55" s="38">
        <f t="shared" si="3"/>
        <v>-2.0091101436615355E-2</v>
      </c>
      <c r="K55" s="37">
        <f>'Home Prices (Raw Data)'!C99</f>
        <v>0.13736842105263158</v>
      </c>
      <c r="L55" s="33"/>
    </row>
    <row r="56" spans="1:12" ht="15.4">
      <c r="A56" s="1">
        <v>1980</v>
      </c>
      <c r="B56" s="1">
        <v>135.76</v>
      </c>
      <c r="C56" s="8">
        <v>6.4350240000000003</v>
      </c>
      <c r="D56" s="6">
        <f t="shared" si="2"/>
        <v>5.9616675931072824E-2</v>
      </c>
      <c r="E56" s="2">
        <v>0.12839999999999999</v>
      </c>
      <c r="F56" s="6">
        <f t="shared" si="4"/>
        <v>-2.989744251999403E-2</v>
      </c>
      <c r="G56" s="36">
        <f>'Moody''s Rates'!C73</f>
        <v>0.1321</v>
      </c>
      <c r="H56" s="6">
        <f t="shared" si="3"/>
        <v>-2.5510823097555202E-2</v>
      </c>
      <c r="I56" s="37">
        <f>'Moody''s Rates'!K73</f>
        <v>0.15140000000000001</v>
      </c>
      <c r="J56" s="38">
        <f t="shared" si="3"/>
        <v>-3.3156783371910456E-2</v>
      </c>
      <c r="K56" s="37">
        <f>'Home Prices (Raw Data)'!C100</f>
        <v>7.4039796390559909E-2</v>
      </c>
      <c r="L56" s="33"/>
    </row>
    <row r="57" spans="1:12" ht="15.4">
      <c r="A57" s="1">
        <v>1981</v>
      </c>
      <c r="B57" s="1">
        <v>122.55</v>
      </c>
      <c r="C57" s="8">
        <v>6.8260350000000001</v>
      </c>
      <c r="D57" s="6">
        <f t="shared" si="2"/>
        <v>5.0280163523865648E-2</v>
      </c>
      <c r="E57" s="2">
        <v>0.13719999999999999</v>
      </c>
      <c r="F57" s="6">
        <f t="shared" si="4"/>
        <v>8.1992153358923542E-2</v>
      </c>
      <c r="G57" s="36">
        <f>'Moody''s Rates'!C74</f>
        <v>0.14230000000000001</v>
      </c>
      <c r="H57" s="6">
        <f t="shared" si="3"/>
        <v>7.936976425152531E-2</v>
      </c>
      <c r="I57" s="37">
        <f>'Moody''s Rates'!K74</f>
        <v>0.16550000000000001</v>
      </c>
      <c r="J57" s="38">
        <f t="shared" si="3"/>
        <v>8.4623994808912056E-2</v>
      </c>
      <c r="K57" s="37">
        <f>'Home Prices (Raw Data)'!C101</f>
        <v>5.0840155105557949E-2</v>
      </c>
      <c r="L57" s="33"/>
    </row>
    <row r="58" spans="1:12" ht="15.4">
      <c r="A58" s="1">
        <v>1982</v>
      </c>
      <c r="B58" s="1">
        <v>140.63999999999999</v>
      </c>
      <c r="C58" s="8">
        <v>6.9335519999999997</v>
      </c>
      <c r="D58" s="6">
        <f t="shared" si="2"/>
        <v>5.6577331701346385E-2</v>
      </c>
      <c r="E58" s="2">
        <v>0.10539999999999999</v>
      </c>
      <c r="F58" s="6">
        <f t="shared" si="4"/>
        <v>0.32814549486295586</v>
      </c>
      <c r="G58" s="36">
        <f>'Moody''s Rates'!C75</f>
        <v>0.1183</v>
      </c>
      <c r="H58" s="6">
        <f t="shared" si="3"/>
        <v>0.27885424288106153</v>
      </c>
      <c r="I58" s="37">
        <f>'Moody''s Rates'!K75</f>
        <v>0.1414</v>
      </c>
      <c r="J58" s="38">
        <f t="shared" si="3"/>
        <v>0.2905245565590866</v>
      </c>
      <c r="K58" s="37">
        <f>'Home Prices (Raw Data)'!C102</f>
        <v>5.740057400573928E-3</v>
      </c>
      <c r="L58" s="33"/>
    </row>
    <row r="59" spans="1:12" ht="15.4">
      <c r="A59" s="1">
        <v>1983</v>
      </c>
      <c r="B59" s="1">
        <v>164.93</v>
      </c>
      <c r="C59" s="8">
        <v>7.1249760000000002</v>
      </c>
      <c r="D59" s="6">
        <f t="shared" si="2"/>
        <v>5.0661092150170652E-2</v>
      </c>
      <c r="E59" s="2">
        <v>0.1183</v>
      </c>
      <c r="F59" s="6">
        <f t="shared" si="4"/>
        <v>3.2002094451429264E-2</v>
      </c>
      <c r="G59" s="36">
        <f>'Moody''s Rates'!C76</f>
        <v>0.1255</v>
      </c>
      <c r="H59" s="6">
        <f t="shared" si="3"/>
        <v>7.8518183520946236E-2</v>
      </c>
      <c r="I59" s="37">
        <f>'Moody''s Rates'!K76</f>
        <v>0.13750000000000001</v>
      </c>
      <c r="J59" s="38">
        <f t="shared" si="3"/>
        <v>0.16194289622798344</v>
      </c>
      <c r="K59" s="37">
        <f>'Home Prices (Raw Data)'!C103</f>
        <v>4.7492865878516088E-2</v>
      </c>
      <c r="L59" s="33"/>
    </row>
    <row r="60" spans="1:12" ht="15.4">
      <c r="A60" s="1">
        <v>1984</v>
      </c>
      <c r="B60" s="1">
        <v>167.24</v>
      </c>
      <c r="C60" s="8">
        <v>7.8268319999999996</v>
      </c>
      <c r="D60" s="6">
        <f t="shared" si="2"/>
        <v>4.7455478081610374E-2</v>
      </c>
      <c r="E60" s="2">
        <v>0.115</v>
      </c>
      <c r="F60" s="6">
        <f t="shared" si="4"/>
        <v>0.13733364344102345</v>
      </c>
      <c r="G60" s="36">
        <f>'Moody''s Rates'!C77</f>
        <v>0.1215</v>
      </c>
      <c r="H60" s="6">
        <f t="shared" si="3"/>
        <v>0.14796279212681412</v>
      </c>
      <c r="I60" s="37">
        <f>'Moody''s Rates'!K77</f>
        <v>0.13400000000000001</v>
      </c>
      <c r="J60" s="38">
        <f t="shared" si="3"/>
        <v>0.15619207332454216</v>
      </c>
      <c r="K60" s="37">
        <f>'Home Prices (Raw Data)'!C104</f>
        <v>4.6701692936368833E-2</v>
      </c>
      <c r="L60" s="33"/>
    </row>
    <row r="61" spans="1:12" ht="15.4">
      <c r="A61" s="1">
        <v>1985</v>
      </c>
      <c r="B61" s="1">
        <v>211.28</v>
      </c>
      <c r="C61" s="8">
        <v>8.1976639999999996</v>
      </c>
      <c r="D61" s="6">
        <f t="shared" si="2"/>
        <v>4.9017364266921784E-2</v>
      </c>
      <c r="E61" s="2">
        <v>9.2600000000000002E-2</v>
      </c>
      <c r="F61" s="6">
        <f t="shared" si="4"/>
        <v>0.2571248821260641</v>
      </c>
      <c r="G61" s="36">
        <f>'Moody''s Rates'!C78</f>
        <v>9.9100000000000008E-2</v>
      </c>
      <c r="H61" s="6">
        <f t="shared" si="3"/>
        <v>0.25967206594531983</v>
      </c>
      <c r="I61" s="37">
        <f>'Moody''s Rates'!K78</f>
        <v>0.1158</v>
      </c>
      <c r="J61" s="38">
        <f t="shared" si="3"/>
        <v>0.23862641849916477</v>
      </c>
      <c r="K61" s="37">
        <f>'Home Prices (Raw Data)'!C105</f>
        <v>7.4735080870050208E-2</v>
      </c>
      <c r="L61" s="33"/>
    </row>
    <row r="62" spans="1:12" ht="15.4">
      <c r="A62" s="1">
        <v>1986</v>
      </c>
      <c r="B62" s="1">
        <v>242.17</v>
      </c>
      <c r="C62" s="8">
        <v>8.1853459999999991</v>
      </c>
      <c r="D62" s="6">
        <f t="shared" si="2"/>
        <v>3.8741698220371067E-2</v>
      </c>
      <c r="E62" s="2">
        <v>7.1099999999999997E-2</v>
      </c>
      <c r="F62" s="6">
        <f t="shared" si="4"/>
        <v>0.24284215141767618</v>
      </c>
      <c r="G62" s="36">
        <f>'Moody''s Rates'!C79</f>
        <v>8.5299999999999987E-2</v>
      </c>
      <c r="H62" s="6">
        <f t="shared" si="3"/>
        <v>0.18952569496617461</v>
      </c>
      <c r="I62" s="37">
        <f>'Moody''s Rates'!K79</f>
        <v>9.8699999999999996E-2</v>
      </c>
      <c r="J62" s="38">
        <f t="shared" si="3"/>
        <v>0.2214614600547623</v>
      </c>
      <c r="K62" s="37">
        <f>'Home Prices (Raw Data)'!C106</f>
        <v>9.6177131984085618E-2</v>
      </c>
      <c r="L62" s="33"/>
    </row>
    <row r="63" spans="1:12" ht="15.4">
      <c r="A63" s="1">
        <v>1987</v>
      </c>
      <c r="B63" s="1">
        <v>247.08</v>
      </c>
      <c r="C63" s="8">
        <v>9.1666679999999996</v>
      </c>
      <c r="D63" s="6">
        <f t="shared" si="2"/>
        <v>3.785220299789404E-2</v>
      </c>
      <c r="E63" s="2">
        <v>8.9899999999999994E-2</v>
      </c>
      <c r="F63" s="6">
        <f t="shared" si="4"/>
        <v>-4.9605089379262279E-2</v>
      </c>
      <c r="G63" s="36">
        <f>'Moody''s Rates'!C80</f>
        <v>0.10060000000000001</v>
      </c>
      <c r="H63" s="6">
        <f t="shared" si="3"/>
        <v>-8.4700466790267881E-3</v>
      </c>
      <c r="I63" s="37">
        <f>'Moody''s Rates'!K80</f>
        <v>0.1138</v>
      </c>
      <c r="J63" s="38">
        <f t="shared" si="3"/>
        <v>1.1171968043818023E-2</v>
      </c>
      <c r="K63" s="37">
        <f>'Home Prices (Raw Data)'!C107</f>
        <v>7.849139971595398E-2</v>
      </c>
      <c r="L63" s="33"/>
    </row>
    <row r="64" spans="1:12" ht="15.4">
      <c r="A64" s="1">
        <v>1988</v>
      </c>
      <c r="B64" s="1">
        <v>277.72000000000003</v>
      </c>
      <c r="C64" s="8">
        <v>10.220096</v>
      </c>
      <c r="D64" s="6">
        <f t="shared" si="2"/>
        <v>4.1363509794398574E-2</v>
      </c>
      <c r="E64" s="2">
        <v>9.11E-2</v>
      </c>
      <c r="F64" s="6">
        <f t="shared" si="4"/>
        <v>8.2235958434841674E-2</v>
      </c>
      <c r="G64" s="36">
        <f>'Moody''s Rates'!C81</f>
        <v>9.6099999999999991E-2</v>
      </c>
      <c r="H64" s="6">
        <f t="shared" si="3"/>
        <v>0.12871994621968308</v>
      </c>
      <c r="I64" s="37">
        <f>'Moody''s Rates'!K81</f>
        <v>0.1066</v>
      </c>
      <c r="J64" s="38">
        <f t="shared" si="3"/>
        <v>0.15681384703221346</v>
      </c>
      <c r="K64" s="37">
        <f>'Home Prices (Raw Data)'!C108</f>
        <v>7.2208240664871859E-2</v>
      </c>
      <c r="L64" s="33"/>
    </row>
    <row r="65" spans="1:16" ht="15.4">
      <c r="A65" s="1">
        <v>1989</v>
      </c>
      <c r="B65" s="1">
        <v>353.4</v>
      </c>
      <c r="C65" s="8">
        <v>11.73288</v>
      </c>
      <c r="D65" s="6">
        <f t="shared" si="2"/>
        <v>4.2247155408324924E-2</v>
      </c>
      <c r="E65" s="2">
        <v>7.8399999999999997E-2</v>
      </c>
      <c r="F65" s="6">
        <f t="shared" si="4"/>
        <v>0.17693647159446219</v>
      </c>
      <c r="G65" s="36">
        <f>'Moody''s Rates'!C82</f>
        <v>8.8699999999999987E-2</v>
      </c>
      <c r="H65" s="6">
        <f t="shared" si="3"/>
        <v>0.14386362626980134</v>
      </c>
      <c r="I65" s="37">
        <f>'Moody''s Rates'!K82</f>
        <v>9.7500000000000003E-2</v>
      </c>
      <c r="J65" s="38">
        <f t="shared" si="3"/>
        <v>0.16312115752422615</v>
      </c>
      <c r="K65" s="37">
        <f>'Home Prices (Raw Data)'!C109</f>
        <v>4.3928001200889799E-2</v>
      </c>
      <c r="L65" s="33"/>
    </row>
    <row r="66" spans="1:16" ht="15.4">
      <c r="A66" s="1">
        <v>1990</v>
      </c>
      <c r="B66" s="1">
        <v>330.22</v>
      </c>
      <c r="C66" s="8">
        <v>12.350228</v>
      </c>
      <c r="D66" s="6">
        <f t="shared" si="2"/>
        <v>3.494688172043011E-2</v>
      </c>
      <c r="E66" s="2">
        <v>8.0799999999999997E-2</v>
      </c>
      <c r="F66" s="6">
        <f t="shared" si="4"/>
        <v>6.2353753335533363E-2</v>
      </c>
      <c r="G66" s="36">
        <f>'Moody''s Rates'!C83</f>
        <v>9.0500000000000011E-2</v>
      </c>
      <c r="H66" s="6">
        <f t="shared" si="3"/>
        <v>7.7173596023443189E-2</v>
      </c>
      <c r="I66" s="37">
        <f>'Moody''s Rates'!K83</f>
        <v>0.1043</v>
      </c>
      <c r="J66" s="38">
        <f t="shared" si="3"/>
        <v>5.6477750205500804E-2</v>
      </c>
      <c r="K66" s="37">
        <f>'Home Prices (Raw Data)'!C110</f>
        <v>-6.8759967580853676E-3</v>
      </c>
      <c r="L66" s="33"/>
    </row>
    <row r="67" spans="1:16" ht="15.4">
      <c r="A67" s="1">
        <v>1991</v>
      </c>
      <c r="B67" s="1">
        <v>417.09</v>
      </c>
      <c r="C67" s="8">
        <v>12.971499</v>
      </c>
      <c r="D67" s="6">
        <f t="shared" si="2"/>
        <v>3.9281385137181268E-2</v>
      </c>
      <c r="E67" s="2">
        <v>7.0900000000000005E-2</v>
      </c>
      <c r="F67" s="6">
        <f t="shared" si="4"/>
        <v>0.15004510019517303</v>
      </c>
      <c r="G67" s="36">
        <f>'Moody''s Rates'!C84</f>
        <v>8.1600000000000006E-2</v>
      </c>
      <c r="H67" s="6">
        <f t="shared" si="3"/>
        <v>0.14979112964226093</v>
      </c>
      <c r="I67" s="37">
        <f>'Moody''s Rates'!K84</f>
        <v>9.4800000000000009E-2</v>
      </c>
      <c r="J67" s="38">
        <f t="shared" si="3"/>
        <v>0.16400049125760602</v>
      </c>
      <c r="K67" s="37">
        <f>'Home Prices (Raw Data)'!C111</f>
        <v>-1.6979939977885827E-3</v>
      </c>
      <c r="L67" s="33"/>
    </row>
    <row r="68" spans="1:16" ht="15.4">
      <c r="A68" s="1">
        <v>1992</v>
      </c>
      <c r="B68" s="1">
        <v>435.71</v>
      </c>
      <c r="C68" s="8">
        <v>12.635590000000001</v>
      </c>
      <c r="D68" s="6">
        <f t="shared" si="2"/>
        <v>3.0294636649164451E-2</v>
      </c>
      <c r="E68" s="2">
        <v>6.7699999999999996E-2</v>
      </c>
      <c r="F68" s="6">
        <f t="shared" si="4"/>
        <v>9.3616373162079422E-2</v>
      </c>
      <c r="G68" s="36">
        <f>'Moody''s Rates'!C85</f>
        <v>7.9100000000000004E-2</v>
      </c>
      <c r="H68" s="6">
        <f t="shared" si="3"/>
        <v>9.8443515032612061E-2</v>
      </c>
      <c r="I68" s="37">
        <f>'Moody''s Rates'!K85</f>
        <v>8.829999999999999E-2</v>
      </c>
      <c r="J68" s="38">
        <f t="shared" si="3"/>
        <v>0.13682874000406886</v>
      </c>
      <c r="K68" s="37">
        <f>'Home Prices (Raw Data)'!C112</f>
        <v>8.1747821156863409E-3</v>
      </c>
      <c r="L68" s="33"/>
    </row>
    <row r="69" spans="1:16" ht="15.4">
      <c r="A69" s="1">
        <v>1993</v>
      </c>
      <c r="B69" s="1">
        <v>466.45</v>
      </c>
      <c r="C69" s="8">
        <v>12.68744</v>
      </c>
      <c r="D69" s="6">
        <f t="shared" si="2"/>
        <v>2.9119001170503318E-2</v>
      </c>
      <c r="E69" s="2">
        <v>5.7700000000000001E-2</v>
      </c>
      <c r="F69" s="6">
        <f t="shared" si="4"/>
        <v>0.14210957589263107</v>
      </c>
      <c r="G69" s="36">
        <f>'Moody''s Rates'!C86</f>
        <v>7.0000000000000007E-2</v>
      </c>
      <c r="H69" s="6">
        <f t="shared" si="3"/>
        <v>0.14301459202248662</v>
      </c>
      <c r="I69" s="37">
        <f>'Moody''s Rates'!K86</f>
        <v>7.7100000000000002E-2</v>
      </c>
      <c r="J69" s="38">
        <f t="shared" si="3"/>
        <v>0.16444594316692779</v>
      </c>
      <c r="K69" s="37">
        <f>'Home Prices (Raw Data)'!C113</f>
        <v>2.1565986163242234E-2</v>
      </c>
      <c r="L69" s="33"/>
    </row>
    <row r="70" spans="1:16" ht="15.4">
      <c r="A70" s="1">
        <v>1994</v>
      </c>
      <c r="B70" s="1">
        <v>459.27</v>
      </c>
      <c r="C70" s="8">
        <v>13.364757000000001</v>
      </c>
      <c r="D70" s="6">
        <f t="shared" si="2"/>
        <v>2.8652067745739095E-2</v>
      </c>
      <c r="E70" s="2">
        <v>7.8100000000000003E-2</v>
      </c>
      <c r="F70" s="6">
        <f t="shared" si="4"/>
        <v>-8.0366555509985921E-2</v>
      </c>
      <c r="G70" s="36">
        <f>'Moody''s Rates'!C87</f>
        <v>8.4900000000000003E-2</v>
      </c>
      <c r="H70" s="6">
        <f t="shared" si="3"/>
        <v>-2.7807661421247742E-2</v>
      </c>
      <c r="I70" s="37">
        <f>'Moody''s Rates'!K87</f>
        <v>9.11E-2</v>
      </c>
      <c r="J70" s="38">
        <f t="shared" si="3"/>
        <v>-1.2313818260180243E-2</v>
      </c>
      <c r="K70" s="37">
        <f>'Home Prices (Raw Data)'!C114</f>
        <v>2.5156185989348767E-2</v>
      </c>
      <c r="L70" s="33"/>
    </row>
    <row r="71" spans="1:16" ht="15.4">
      <c r="A71" s="1">
        <v>1995</v>
      </c>
      <c r="B71" s="1">
        <v>615.92999999999995</v>
      </c>
      <c r="C71" s="8">
        <v>14.16639</v>
      </c>
      <c r="D71" s="6">
        <f t="shared" si="2"/>
        <v>3.0845450388660267E-2</v>
      </c>
      <c r="E71" s="2">
        <v>5.7099999999999998E-2</v>
      </c>
      <c r="F71" s="6">
        <f t="shared" si="4"/>
        <v>0.23480780112538907</v>
      </c>
      <c r="G71" s="36">
        <f>'Moody''s Rates'!C88</f>
        <v>6.7099999999999993E-2</v>
      </c>
      <c r="H71" s="6">
        <f t="shared" si="3"/>
        <v>0.21161302520080752</v>
      </c>
      <c r="I71" s="37">
        <f>'Moody''s Rates'!K88</f>
        <v>7.51E-2</v>
      </c>
      <c r="J71" s="38">
        <f t="shared" si="3"/>
        <v>0.20087516571052572</v>
      </c>
      <c r="K71" s="37">
        <f>'Home Prices (Raw Data)'!C115</f>
        <v>1.7920251757683303E-2</v>
      </c>
      <c r="L71" s="33"/>
    </row>
    <row r="72" spans="1:16" ht="15.4">
      <c r="A72" s="1">
        <v>1996</v>
      </c>
      <c r="B72" s="1">
        <v>740.74</v>
      </c>
      <c r="C72" s="8">
        <v>14.888873999999999</v>
      </c>
      <c r="D72" s="6">
        <f t="shared" si="2"/>
        <v>2.4172996931469487E-2</v>
      </c>
      <c r="E72" s="2">
        <v>6.3E-2</v>
      </c>
      <c r="F72" s="6">
        <f t="shared" si="4"/>
        <v>1.428607793401844E-2</v>
      </c>
      <c r="G72" s="36">
        <f>'Moody''s Rates'!C89</f>
        <v>7.2700000000000001E-2</v>
      </c>
      <c r="H72" s="6">
        <f t="shared" si="3"/>
        <v>2.8254181201576911E-2</v>
      </c>
      <c r="I72" s="37">
        <f>'Moody''s Rates'!K89</f>
        <v>7.8399999999999997E-2</v>
      </c>
      <c r="J72" s="38">
        <f t="shared" si="3"/>
        <v>5.2796034940021663E-2</v>
      </c>
      <c r="K72" s="37">
        <f>'Home Prices (Raw Data)'!C116</f>
        <v>2.4254097556188015E-2</v>
      </c>
      <c r="L72" s="33"/>
    </row>
    <row r="73" spans="1:16" ht="15.4">
      <c r="A73" s="1">
        <v>1997</v>
      </c>
      <c r="B73" s="1">
        <v>970.43</v>
      </c>
      <c r="C73" s="8">
        <v>15.522</v>
      </c>
      <c r="D73" s="6">
        <f t="shared" si="2"/>
        <v>2.0954720954720955E-2</v>
      </c>
      <c r="E73" s="2">
        <v>5.8099999999999999E-2</v>
      </c>
      <c r="F73" s="6">
        <f t="shared" si="4"/>
        <v>9.939130272977531E-2</v>
      </c>
      <c r="G73" s="36">
        <f>'Moody''s Rates'!C90</f>
        <v>6.7099999999999993E-2</v>
      </c>
      <c r="H73" s="6">
        <f t="shared" si="3"/>
        <v>0.11256477197328786</v>
      </c>
      <c r="I73" s="37">
        <f>'Moody''s Rates'!K90</f>
        <v>7.3399999999999993E-2</v>
      </c>
      <c r="J73" s="38">
        <f t="shared" si="3"/>
        <v>0.11297255528327496</v>
      </c>
      <c r="K73" s="37">
        <f>'Home Prices (Raw Data)'!C117</f>
        <v>4.0220867419660244E-2</v>
      </c>
      <c r="L73" s="33"/>
    </row>
    <row r="74" spans="1:16" ht="15.4">
      <c r="A74" s="1">
        <v>1998</v>
      </c>
      <c r="B74" s="1">
        <v>1229.23</v>
      </c>
      <c r="C74" s="8">
        <v>16.2</v>
      </c>
      <c r="D74" s="6">
        <f t="shared" si="2"/>
        <v>1.6693630658574033E-2</v>
      </c>
      <c r="E74" s="2">
        <v>4.65E-2</v>
      </c>
      <c r="F74" s="6">
        <f t="shared" si="4"/>
        <v>0.14921431922606215</v>
      </c>
      <c r="G74" s="36">
        <f>'Moody''s Rates'!C91</f>
        <v>6.2300000000000001E-2</v>
      </c>
      <c r="H74" s="6">
        <f t="shared" si="3"/>
        <v>0.10204661874257664</v>
      </c>
      <c r="I74" s="37">
        <f>'Moody''s Rates'!K91</f>
        <v>7.2300000000000003E-2</v>
      </c>
      <c r="J74" s="38">
        <f t="shared" si="3"/>
        <v>8.1044463844197473E-2</v>
      </c>
      <c r="K74" s="37">
        <f>'Home Prices (Raw Data)'!C118</f>
        <v>6.4423641576565771E-2</v>
      </c>
      <c r="L74" s="33"/>
    </row>
    <row r="75" spans="1:16" ht="15.4">
      <c r="A75" s="1">
        <v>1999</v>
      </c>
      <c r="B75" s="1">
        <v>1469.25</v>
      </c>
      <c r="C75" s="8">
        <v>16.709</v>
      </c>
      <c r="D75" s="6">
        <f t="shared" si="2"/>
        <v>1.3593062323568413E-2</v>
      </c>
      <c r="E75" s="2">
        <v>6.4399999999999999E-2</v>
      </c>
      <c r="F75" s="6">
        <f t="shared" si="4"/>
        <v>-8.2542147962685761E-2</v>
      </c>
      <c r="G75" s="36">
        <f>'Moody''s Rates'!C92</f>
        <v>7.6399999999999996E-2</v>
      </c>
      <c r="H75" s="6">
        <f t="shared" si="3"/>
        <v>-3.3867878233007097E-2</v>
      </c>
      <c r="I75" s="37">
        <f>'Moody''s Rates'!K92</f>
        <v>8.1699999999999995E-2</v>
      </c>
      <c r="J75" s="38">
        <f t="shared" si="3"/>
        <v>9.7060334129739079E-3</v>
      </c>
      <c r="K75" s="37">
        <f>'Home Prices (Raw Data)'!C119</f>
        <v>7.6804915514592897E-2</v>
      </c>
      <c r="L75" s="33"/>
    </row>
    <row r="76" spans="1:16" s="5" customFormat="1" ht="15.4">
      <c r="A76" s="1">
        <v>2000</v>
      </c>
      <c r="B76" s="1">
        <v>1320.28</v>
      </c>
      <c r="C76" s="8">
        <v>16.27</v>
      </c>
      <c r="D76" s="6">
        <f t="shared" si="2"/>
        <v>1.1073677046111962E-2</v>
      </c>
      <c r="E76" s="2">
        <v>5.11E-2</v>
      </c>
      <c r="F76" s="6">
        <f t="shared" si="4"/>
        <v>0.16655267125397488</v>
      </c>
      <c r="G76" s="36">
        <f>'Moody''s Rates'!C93</f>
        <v>7.1599999999999997E-2</v>
      </c>
      <c r="H76" s="6">
        <f t="shared" si="3"/>
        <v>0.10986525460424953</v>
      </c>
      <c r="I76" s="37">
        <f>'Moody''s Rates'!K93</f>
        <v>7.9899999999999999E-2</v>
      </c>
      <c r="J76" s="38">
        <f t="shared" si="3"/>
        <v>9.3783596232947297E-2</v>
      </c>
      <c r="K76" s="37">
        <f>'Home Prices (Raw Data)'!C120</f>
        <v>9.2915553233810844E-2</v>
      </c>
      <c r="L76" s="33"/>
      <c r="P76"/>
    </row>
    <row r="77" spans="1:16" ht="15.4">
      <c r="A77" s="1">
        <v>2001</v>
      </c>
      <c r="B77" s="1">
        <v>1148.0899999999999</v>
      </c>
      <c r="C77" s="8">
        <v>15.74</v>
      </c>
      <c r="D77" s="6">
        <f t="shared" si="2"/>
        <v>1.1921713575908141E-2</v>
      </c>
      <c r="E77" s="2">
        <v>5.0500000000000003E-2</v>
      </c>
      <c r="F77" s="6">
        <f t="shared" si="4"/>
        <v>5.5721811892492555E-2</v>
      </c>
      <c r="G77" s="36">
        <f>'Moody''s Rates'!C94</f>
        <v>6.6100000000000006E-2</v>
      </c>
      <c r="H77" s="6">
        <f t="shared" si="3"/>
        <v>0.11093583112511907</v>
      </c>
      <c r="I77" s="37">
        <f>'Moody''s Rates'!K94</f>
        <v>7.9000000000000001E-2</v>
      </c>
      <c r="J77" s="38">
        <f t="shared" si="3"/>
        <v>8.5966407402972594E-2</v>
      </c>
      <c r="K77" s="37">
        <f>'Home Prices (Raw Data)'!C121</f>
        <v>6.6779421091818225E-2</v>
      </c>
      <c r="L77" s="33"/>
    </row>
    <row r="78" spans="1:16" s="3" customFormat="1" ht="15.4">
      <c r="A78" s="1">
        <v>2002</v>
      </c>
      <c r="B78" s="1">
        <v>879.82</v>
      </c>
      <c r="C78" s="8">
        <v>16.079999999999998</v>
      </c>
      <c r="D78" s="6">
        <f t="shared" si="2"/>
        <v>1.4005870619899136E-2</v>
      </c>
      <c r="E78" s="2">
        <v>3.8199999999999998E-2</v>
      </c>
      <c r="F78" s="6">
        <f t="shared" si="4"/>
        <v>0.15116400378109285</v>
      </c>
      <c r="G78" s="36">
        <f>'Moody''s Rates'!C95</f>
        <v>6.0899999999999996E-2</v>
      </c>
      <c r="H78" s="6">
        <f t="shared" si="3"/>
        <v>0.10420978781988617</v>
      </c>
      <c r="I78" s="37">
        <f>'Moody''s Rates'!K95</f>
        <v>7.2999999999999995E-2</v>
      </c>
      <c r="J78" s="38">
        <f t="shared" si="3"/>
        <v>0.12056324507730691</v>
      </c>
      <c r="K78" s="37">
        <f>'Home Prices (Raw Data)'!C122</f>
        <v>9.5600399806989866E-2</v>
      </c>
      <c r="L78" s="33"/>
      <c r="P78"/>
    </row>
    <row r="79" spans="1:16" ht="15.4">
      <c r="A79" s="1">
        <v>2003</v>
      </c>
      <c r="B79" s="1">
        <v>1111.9100000000001</v>
      </c>
      <c r="C79" s="8">
        <v>17.39</v>
      </c>
      <c r="D79" s="6">
        <f t="shared" si="2"/>
        <v>1.9765406560432814E-2</v>
      </c>
      <c r="E79" s="2">
        <v>4.2500000000000003E-2</v>
      </c>
      <c r="F79" s="6">
        <f t="shared" si="4"/>
        <v>3.7531858817758529E-3</v>
      </c>
      <c r="G79" s="36">
        <f>'Moody''s Rates'!C96</f>
        <v>5.6299999999999996E-2</v>
      </c>
      <c r="H79" s="6">
        <f t="shared" si="3"/>
        <v>9.535788974746788E-2</v>
      </c>
      <c r="I79" s="37">
        <f>'Moody''s Rates'!K96</f>
        <v>6.59E-2</v>
      </c>
      <c r="J79" s="38">
        <f t="shared" si="3"/>
        <v>0.1238264134705485</v>
      </c>
      <c r="K79" s="37">
        <f>'Home Prices (Raw Data)'!C123</f>
        <v>9.8119558635008763E-2</v>
      </c>
      <c r="L79" s="33"/>
    </row>
    <row r="80" spans="1:16" s="9" customFormat="1" ht="15.4">
      <c r="A80" s="1">
        <v>2004</v>
      </c>
      <c r="B80" s="1">
        <v>1211.92</v>
      </c>
      <c r="C80" s="8">
        <v>19.440000000000001</v>
      </c>
      <c r="D80" s="6">
        <f t="shared" si="2"/>
        <v>1.7483429414251152E-2</v>
      </c>
      <c r="E80" s="2">
        <v>4.2200000000000001E-2</v>
      </c>
      <c r="F80" s="6">
        <f t="shared" si="4"/>
        <v>4.490683702274547E-2</v>
      </c>
      <c r="G80" s="36">
        <f>'Moody''s Rates'!C97</f>
        <v>5.4299999999999994E-2</v>
      </c>
      <c r="H80" s="6">
        <f t="shared" si="3"/>
        <v>7.1425997574770611E-2</v>
      </c>
      <c r="I80" s="37">
        <f>'Moody''s Rates'!K97</f>
        <v>6.0800000000000007E-2</v>
      </c>
      <c r="J80" s="38">
        <f t="shared" si="3"/>
        <v>0.1032945825904709</v>
      </c>
      <c r="K80" s="37">
        <f>'Home Prices (Raw Data)'!C124</f>
        <v>0.13638479663675351</v>
      </c>
      <c r="L80" s="33"/>
      <c r="P80"/>
    </row>
    <row r="81" spans="1:16" s="7" customFormat="1" ht="15.4">
      <c r="A81" s="1">
        <v>2005</v>
      </c>
      <c r="B81" s="1">
        <v>1248.29</v>
      </c>
      <c r="C81" s="8">
        <v>22.22</v>
      </c>
      <c r="D81" s="6">
        <f t="shared" si="2"/>
        <v>1.8334543534226679E-2</v>
      </c>
      <c r="E81" s="2">
        <v>4.3900000000000002E-2</v>
      </c>
      <c r="F81" s="6">
        <f t="shared" si="4"/>
        <v>2.8675329597779506E-2</v>
      </c>
      <c r="G81" s="36">
        <f>'Moody''s Rates'!C98</f>
        <v>5.2600000000000001E-2</v>
      </c>
      <c r="H81" s="6">
        <f t="shared" si="3"/>
        <v>6.7262771807337945E-2</v>
      </c>
      <c r="I81" s="37">
        <f>'Moody''s Rates'!K98</f>
        <v>6.2100000000000002E-2</v>
      </c>
      <c r="J81" s="38">
        <f t="shared" si="3"/>
        <v>5.1326366805218779E-2</v>
      </c>
      <c r="K81" s="37">
        <f>'Home Prices (Raw Data)'!C125</f>
        <v>0.13510430453141753</v>
      </c>
      <c r="L81" s="33"/>
      <c r="P81"/>
    </row>
    <row r="82" spans="1:16" ht="15.4">
      <c r="A82" s="1">
        <v>2006</v>
      </c>
      <c r="B82" s="1">
        <v>1418.3</v>
      </c>
      <c r="C82" s="8">
        <v>24.88</v>
      </c>
      <c r="D82" s="6">
        <f t="shared" si="2"/>
        <v>1.993126597184949E-2</v>
      </c>
      <c r="E82" s="2">
        <v>4.7E-2</v>
      </c>
      <c r="F82" s="6">
        <f t="shared" si="4"/>
        <v>1.9610012417568386E-2</v>
      </c>
      <c r="G82" s="36">
        <f>'Moody''s Rates'!C99</f>
        <v>5.4600000000000003E-2</v>
      </c>
      <c r="H82" s="6">
        <f t="shared" si="3"/>
        <v>3.7495782311379865E-2</v>
      </c>
      <c r="I82" s="37">
        <f>'Moody''s Rates'!K99</f>
        <v>6.3399999999999998E-2</v>
      </c>
      <c r="J82" s="38">
        <f t="shared" si="3"/>
        <v>5.2684144332519181E-2</v>
      </c>
      <c r="K82" s="37">
        <f>'Home Prices (Raw Data)'!C126</f>
        <v>1.7334140261067166E-2</v>
      </c>
      <c r="L82" s="33"/>
    </row>
    <row r="83" spans="1:16" ht="15.4">
      <c r="A83" s="1">
        <v>2007</v>
      </c>
      <c r="B83" s="16">
        <v>1468.36</v>
      </c>
      <c r="C83" s="8">
        <v>27.73</v>
      </c>
      <c r="D83" s="6">
        <f t="shared" si="2"/>
        <v>1.9551575830219277E-2</v>
      </c>
      <c r="E83" s="17">
        <v>4.02E-2</v>
      </c>
      <c r="F83" s="6">
        <f t="shared" si="4"/>
        <v>0.10209921930012807</v>
      </c>
      <c r="G83" s="36">
        <f>'Moody''s Rates'!C100</f>
        <v>5.4100000000000002E-2</v>
      </c>
      <c r="H83" s="6">
        <f t="shared" si="3"/>
        <v>5.8385135983344959E-2</v>
      </c>
      <c r="I83" s="37">
        <f>'Moody''s Rates'!K100</f>
        <v>6.54E-2</v>
      </c>
      <c r="J83" s="38">
        <f t="shared" si="3"/>
        <v>4.9049214482201883E-2</v>
      </c>
      <c r="K83" s="37">
        <f>'Home Prices (Raw Data)'!C127</f>
        <v>-5.3981629545541421E-2</v>
      </c>
      <c r="L83" s="33"/>
    </row>
    <row r="84" spans="1:16" ht="15.4">
      <c r="A84" s="1">
        <v>2008</v>
      </c>
      <c r="B84" s="1">
        <v>903.25</v>
      </c>
      <c r="C84" s="8">
        <v>28.39</v>
      </c>
      <c r="D84" s="6">
        <f t="shared" si="2"/>
        <v>1.9334495627775207E-2</v>
      </c>
      <c r="E84" s="17">
        <v>2.2100000000000002E-2</v>
      </c>
      <c r="F84" s="6">
        <f t="shared" si="4"/>
        <v>0.20101279926977011</v>
      </c>
      <c r="G84" s="36">
        <f>'Moody''s Rates'!C101</f>
        <v>4.7E-2</v>
      </c>
      <c r="H84" s="6">
        <f t="shared" si="3"/>
        <v>0.10973190704363375</v>
      </c>
      <c r="I84" s="37">
        <f>'Moody''s Rates'!K101</f>
        <v>8.030000000000001E-2</v>
      </c>
      <c r="J84" s="38">
        <f t="shared" si="3"/>
        <v>-3.4445066435111374E-2</v>
      </c>
      <c r="K84" s="37">
        <f>'Home Prices (Raw Data)'!C128</f>
        <v>-0.11995638578961343</v>
      </c>
      <c r="L84" s="33"/>
    </row>
    <row r="85" spans="1:16" ht="15.4">
      <c r="A85" s="1">
        <v>2009</v>
      </c>
      <c r="B85" s="1">
        <v>1115.0999999999999</v>
      </c>
      <c r="C85" s="8">
        <v>22.41</v>
      </c>
      <c r="D85" s="6">
        <f t="shared" si="2"/>
        <v>2.4810406864101856E-2</v>
      </c>
      <c r="E85" s="17">
        <v>3.8399999999999997E-2</v>
      </c>
      <c r="F85" s="6">
        <f t="shared" si="4"/>
        <v>-0.11116695313259162</v>
      </c>
      <c r="G85" s="36">
        <f>'Moody''s Rates'!C102</f>
        <v>5.33E-2</v>
      </c>
      <c r="H85" s="6">
        <f t="shared" si="3"/>
        <v>-8.7666626810571635E-4</v>
      </c>
      <c r="I85" s="37">
        <f>'Moody''s Rates'!K102</f>
        <v>6.3799999999999996E-2</v>
      </c>
      <c r="J85" s="38">
        <f t="shared" si="3"/>
        <v>0.19958466821865592</v>
      </c>
      <c r="K85" s="37">
        <f>'Home Prices (Raw Data)'!C129</f>
        <v>-3.8552558261496617E-2</v>
      </c>
      <c r="L85" s="33"/>
    </row>
    <row r="86" spans="1:16" ht="15.4">
      <c r="A86" s="1">
        <v>2010</v>
      </c>
      <c r="B86" s="1">
        <v>1257.6400000000001</v>
      </c>
      <c r="C86" s="8">
        <v>22.73</v>
      </c>
      <c r="D86" s="6">
        <f t="shared" si="2"/>
        <v>2.0383822078737335E-2</v>
      </c>
      <c r="E86" s="17">
        <v>3.2899999999999999E-2</v>
      </c>
      <c r="F86" s="18">
        <f t="shared" si="4"/>
        <v>8.4629338803557719E-2</v>
      </c>
      <c r="G86" s="36">
        <f>'Moody''s Rates'!C103</f>
        <v>4.8799999999999996E-2</v>
      </c>
      <c r="H86" s="6">
        <f t="shared" si="3"/>
        <v>8.8251194876807534E-2</v>
      </c>
      <c r="I86" s="37">
        <f>'Moody''s Rates'!K103</f>
        <v>5.9700000000000003E-2</v>
      </c>
      <c r="J86" s="38">
        <f t="shared" si="3"/>
        <v>9.401929364596065E-2</v>
      </c>
      <c r="K86" s="37">
        <f>'Home Prices (Raw Data)'!C130</f>
        <v>-4.1128020509463736E-2</v>
      </c>
      <c r="L86" s="34"/>
    </row>
    <row r="87" spans="1:16" ht="15.4">
      <c r="A87" s="1">
        <v>2011</v>
      </c>
      <c r="B87" s="1">
        <v>1257.5999999999999</v>
      </c>
      <c r="C87" s="8">
        <v>26.43</v>
      </c>
      <c r="D87" s="6">
        <f t="shared" si="2"/>
        <v>2.10155529404281E-2</v>
      </c>
      <c r="E87" s="17">
        <v>1.8800000000000001E-2</v>
      </c>
      <c r="F87" s="18">
        <f t="shared" si="4"/>
        <v>0.16035334999461354</v>
      </c>
      <c r="G87" s="36">
        <f>'Moody''s Rates'!C104</f>
        <v>3.7699999999999997E-2</v>
      </c>
      <c r="H87" s="6">
        <f t="shared" si="3"/>
        <v>0.13987067842780126</v>
      </c>
      <c r="I87" s="37">
        <f>'Moody''s Rates'!K104</f>
        <v>5.1500000000000004E-2</v>
      </c>
      <c r="J87" s="38">
        <f t="shared" si="3"/>
        <v>0.12255951527540701</v>
      </c>
      <c r="K87" s="37">
        <f>'Home Prices (Raw Data)'!C131</f>
        <v>-3.8853177086296098E-2</v>
      </c>
      <c r="L87" s="34"/>
    </row>
    <row r="88" spans="1:16" ht="15.4">
      <c r="A88" s="1">
        <v>2012</v>
      </c>
      <c r="B88" s="1">
        <v>1426.19</v>
      </c>
      <c r="C88" s="8">
        <v>31.25</v>
      </c>
      <c r="D88" s="6">
        <f t="shared" si="2"/>
        <v>2.4848918575063616E-2</v>
      </c>
      <c r="E88" s="17">
        <v>1.7600000000000001E-2</v>
      </c>
      <c r="F88" s="18">
        <f t="shared" si="4"/>
        <v>2.971571978018946E-2</v>
      </c>
      <c r="G88" s="36">
        <f>'Moody''s Rates'!C105</f>
        <v>3.6699999999999997E-2</v>
      </c>
      <c r="H88" s="6">
        <f t="shared" si="3"/>
        <v>4.5945797286168696E-2</v>
      </c>
      <c r="I88" s="37">
        <f>'Moody''s Rates'!K105</f>
        <v>4.6100000000000002E-2</v>
      </c>
      <c r="J88" s="38">
        <f t="shared" si="3"/>
        <v>9.3998518520979416E-2</v>
      </c>
      <c r="K88" s="37">
        <f>'Home Prices (Raw Data)'!C132</f>
        <v>6.4371744791666519E-2</v>
      </c>
      <c r="L88" s="34"/>
    </row>
    <row r="89" spans="1:16" ht="15.4">
      <c r="A89" s="1">
        <v>2013</v>
      </c>
      <c r="B89" s="1">
        <v>1848.36</v>
      </c>
      <c r="C89" s="8">
        <v>36.28</v>
      </c>
      <c r="D89" s="6">
        <f t="shared" si="2"/>
        <v>2.5438405822506116E-2</v>
      </c>
      <c r="E89" s="17">
        <v>3.0360000000000002E-2</v>
      </c>
      <c r="F89" s="18">
        <f t="shared" si="4"/>
        <v>-9.104568794347262E-2</v>
      </c>
      <c r="G89" s="36">
        <f>'Moody''s Rates'!C106</f>
        <v>4.5700000000000005E-2</v>
      </c>
      <c r="H89" s="6">
        <f t="shared" si="3"/>
        <v>-3.4269994347688473E-2</v>
      </c>
      <c r="I89" s="37">
        <f>'Moody''s Rates'!K106</f>
        <v>5.3659999999999999E-2</v>
      </c>
      <c r="J89" s="38">
        <f t="shared" si="3"/>
        <v>-1.1252505764346693E-2</v>
      </c>
      <c r="K89" s="37">
        <f>'Home Prices (Raw Data)'!C133</f>
        <v>0.1071321827495848</v>
      </c>
      <c r="L89" s="34"/>
    </row>
    <row r="90" spans="1:16" ht="15.4">
      <c r="A90" s="1">
        <v>2014</v>
      </c>
      <c r="B90" s="21">
        <v>2058.9</v>
      </c>
      <c r="C90" s="82">
        <v>39.44</v>
      </c>
      <c r="D90" s="6">
        <f t="shared" si="2"/>
        <v>2.1337834620961286E-2</v>
      </c>
      <c r="E90" s="20">
        <v>2.1700000000000001E-2</v>
      </c>
      <c r="F90" s="18">
        <f>((E89*(1-(1+E90)^(-10))/E90+1/(1+E90)^10)-1)+E89</f>
        <v>0.10746180452004755</v>
      </c>
      <c r="G90" s="36">
        <f>'Moody''s Rates'!C107</f>
        <v>3.7200000000000004E-2</v>
      </c>
      <c r="H90" s="6">
        <f t="shared" si="3"/>
        <v>0.11561371395416591</v>
      </c>
      <c r="I90" s="37">
        <f>'Moody''s Rates'!K107</f>
        <v>4.6799999999999994E-2</v>
      </c>
      <c r="J90" s="38">
        <f t="shared" si="3"/>
        <v>0.10746402616714908</v>
      </c>
      <c r="K90" s="37">
        <f>'Home Prices (Raw Data)'!C134</f>
        <v>4.5071006140053216E-2</v>
      </c>
      <c r="L90" s="34"/>
    </row>
    <row r="91" spans="1:16" ht="15.4">
      <c r="A91" s="1">
        <v>2015</v>
      </c>
      <c r="B91" s="1">
        <v>2043.9</v>
      </c>
      <c r="C91" s="8">
        <v>43.39</v>
      </c>
      <c r="D91" s="6">
        <f t="shared" si="2"/>
        <v>2.1074360095196462E-2</v>
      </c>
      <c r="E91" s="17">
        <v>2.2700000000000001E-2</v>
      </c>
      <c r="F91" s="18">
        <f>((E90*(1-(1+E91)^(-10))/E91+1/(1+E91)^10)-1)+E90</f>
        <v>1.2842996709792224E-2</v>
      </c>
      <c r="G91" s="36">
        <f>'Moody''s Rates'!C108</f>
        <v>4.0399999999999998E-2</v>
      </c>
      <c r="H91" s="6">
        <f t="shared" si="3"/>
        <v>1.1296739256083758E-2</v>
      </c>
      <c r="I91" s="37">
        <f>'Moody''s Rates'!K108</f>
        <v>5.5000000000000007E-2</v>
      </c>
      <c r="J91" s="38">
        <f t="shared" si="3"/>
        <v>-1.5008531794429583E-2</v>
      </c>
      <c r="K91" s="37">
        <f>'Home Prices (Raw Data)'!C135</f>
        <v>5.2000168207568365E-2</v>
      </c>
      <c r="L91" s="34"/>
    </row>
    <row r="92" spans="1:16" ht="15.4">
      <c r="A92" s="1">
        <v>2016</v>
      </c>
      <c r="B92" s="1">
        <v>2238.83</v>
      </c>
      <c r="C92" s="8">
        <v>45.7</v>
      </c>
      <c r="D92" s="6">
        <f t="shared" si="2"/>
        <v>2.2359215225793826E-2</v>
      </c>
      <c r="E92" s="17">
        <v>2.4500000000000001E-2</v>
      </c>
      <c r="F92" s="18">
        <f>((E91*(1-(1+E92)^(-10))/E92+1/(1+E92)^10)-1)+E91</f>
        <v>6.9055046987477921E-3</v>
      </c>
      <c r="G92" s="36">
        <f>'Moody''s Rates'!C109</f>
        <v>3.9800000000000002E-2</v>
      </c>
      <c r="H92" s="6">
        <f t="shared" si="3"/>
        <v>4.527138634381745E-2</v>
      </c>
      <c r="I92" s="37">
        <f>'Moody''s Rates'!K109</f>
        <v>4.7299999999999995E-2</v>
      </c>
      <c r="J92" s="38">
        <f t="shared" si="3"/>
        <v>0.11524473910506201</v>
      </c>
      <c r="K92" s="37">
        <f>'Home Prices (Raw Data)'!C136</f>
        <v>5.3044535938829185E-2</v>
      </c>
      <c r="L92" s="34"/>
    </row>
    <row r="93" spans="1:16" ht="15.4">
      <c r="A93" s="1">
        <v>2017</v>
      </c>
      <c r="B93" s="1">
        <v>2673.61</v>
      </c>
      <c r="C93" s="32">
        <v>48.93</v>
      </c>
      <c r="D93" s="6">
        <f t="shared" si="2"/>
        <v>2.1855165421224478E-2</v>
      </c>
      <c r="E93" s="17">
        <v>2.41E-2</v>
      </c>
      <c r="F93" s="17">
        <f>'T. Bond yield &amp; return'!C98</f>
        <v>2.8017162707789457E-2</v>
      </c>
      <c r="G93" s="36">
        <f>'Moody''s Rates'!C110</f>
        <v>3.4500000000000003E-2</v>
      </c>
      <c r="H93" s="6">
        <f t="shared" si="3"/>
        <v>8.3989301597879817E-2</v>
      </c>
      <c r="I93" s="37">
        <f>'Moody''s Rates'!K110</f>
        <v>4.1800000000000004E-2</v>
      </c>
      <c r="J93" s="38">
        <f t="shared" si="3"/>
        <v>9.1512861973051515E-2</v>
      </c>
      <c r="K93" s="37">
        <f>'Home Prices (Raw Data)'!C137</f>
        <v>6.2069563897053426E-2</v>
      </c>
      <c r="L93" s="10"/>
    </row>
    <row r="94" spans="1:16" ht="15.4">
      <c r="A94" s="31">
        <v>2018</v>
      </c>
      <c r="B94" s="31">
        <v>2506.85</v>
      </c>
      <c r="C94" s="83">
        <v>53.75</v>
      </c>
      <c r="D94" s="6">
        <f t="shared" si="2"/>
        <v>2.010390445876549E-2</v>
      </c>
      <c r="E94" s="10">
        <f>'T. Bond yield &amp; return'!B99</f>
        <v>2.69E-2</v>
      </c>
      <c r="F94" s="17">
        <f>'T. Bond yield &amp; return'!C99</f>
        <v>-1.6692385713402633E-4</v>
      </c>
      <c r="G94" s="36">
        <f>'Moody''s Rates'!C111</f>
        <v>3.9900000000000005E-2</v>
      </c>
      <c r="H94" s="6">
        <f t="shared" si="3"/>
        <v>-9.3206490111103768E-3</v>
      </c>
      <c r="I94" s="37">
        <f>'Moody''s Rates'!K111</f>
        <v>5.1400000000000001E-2</v>
      </c>
      <c r="J94" s="38">
        <f t="shared" si="3"/>
        <v>-3.1827246355492778E-2</v>
      </c>
      <c r="K94" s="37">
        <f>'Home Prices (Raw Data)'!C138</f>
        <v>4.5192288054245022E-2</v>
      </c>
      <c r="L94" s="10"/>
    </row>
    <row r="95" spans="1:16" ht="15.4">
      <c r="A95" s="31">
        <v>2019</v>
      </c>
      <c r="B95" s="31">
        <v>3230.78</v>
      </c>
      <c r="C95" s="65">
        <v>58.5</v>
      </c>
      <c r="D95" s="6">
        <f t="shared" si="2"/>
        <v>2.3336059197798034E-2</v>
      </c>
      <c r="E95" s="10">
        <v>1.9199999999999998E-2</v>
      </c>
      <c r="F95" s="17">
        <f>'T. Bond yield &amp; return'!C100</f>
        <v>9.6356307415483927E-2</v>
      </c>
      <c r="G95" s="36">
        <f>'Moody''s Rates'!C112</f>
        <v>3.04E-2</v>
      </c>
      <c r="H95" s="6">
        <f t="shared" si="3"/>
        <v>0.12077175238825984</v>
      </c>
      <c r="I95" s="37">
        <f>'Moody''s Rates'!K112</f>
        <v>3.8999999999999993E-2</v>
      </c>
      <c r="J95" s="38">
        <f t="shared" si="3"/>
        <v>0.15247765775278477</v>
      </c>
      <c r="K95" s="37">
        <f>'Home Prices (Raw Data)'!C139</f>
        <v>3.685827760218463E-2</v>
      </c>
    </row>
    <row r="96" spans="1:16" ht="15.4">
      <c r="A96" s="31">
        <v>2020</v>
      </c>
      <c r="B96" s="31">
        <v>3756.07</v>
      </c>
      <c r="C96" s="65">
        <v>57</v>
      </c>
      <c r="D96" s="6">
        <f t="shared" si="2"/>
        <v>1.7642798333529365E-2</v>
      </c>
      <c r="E96" s="10">
        <v>9.2999999999999992E-3</v>
      </c>
      <c r="F96" s="17">
        <f>'T. Bond yield &amp; return'!C101</f>
        <v>0.1133189764661412</v>
      </c>
      <c r="G96" s="36">
        <f>'Moody''s Rates'!C113</f>
        <v>2.23E-2</v>
      </c>
      <c r="H96" s="6">
        <f t="shared" si="3"/>
        <v>0.10229109308473851</v>
      </c>
      <c r="I96" s="37">
        <f>'Moody''s Rates'!K113</f>
        <v>3.1099999999999999E-2</v>
      </c>
      <c r="J96" s="38">
        <f t="shared" si="3"/>
        <v>0.10601187472880443</v>
      </c>
      <c r="K96" s="37">
        <f>'Home Prices (Raw Data)'!C140</f>
        <v>0.10432135991858571</v>
      </c>
    </row>
    <row r="97" spans="1:11" ht="15.4">
      <c r="A97" s="31">
        <v>2021</v>
      </c>
      <c r="B97" s="31">
        <v>4766.18</v>
      </c>
      <c r="C97" s="65">
        <v>59.2</v>
      </c>
      <c r="D97" s="6">
        <f t="shared" si="2"/>
        <v>1.5761154611069549E-2</v>
      </c>
      <c r="E97" s="10">
        <v>1.5100000000000001E-2</v>
      </c>
      <c r="F97" s="17">
        <f>'T. Bond yield &amp; return'!C102</f>
        <v>-4.416034448604475E-2</v>
      </c>
      <c r="G97" s="36">
        <f>'Moody''s Rates'!C114</f>
        <v>2.7099999999999999E-2</v>
      </c>
      <c r="H97" s="6">
        <f t="shared" si="3"/>
        <v>-1.9257683971225945E-2</v>
      </c>
      <c r="I97" s="37">
        <f>'Moody''s Rates'!K114</f>
        <v>3.3600000000000005E-2</v>
      </c>
      <c r="J97" s="38">
        <f t="shared" si="3"/>
        <v>1.016099565776583E-2</v>
      </c>
      <c r="K97" s="37">
        <f>'Home Prices (Raw Data)'!C141</f>
        <v>0.18874952003071788</v>
      </c>
    </row>
    <row r="98" spans="1:11" ht="15.4">
      <c r="A98" s="31">
        <v>2022</v>
      </c>
      <c r="B98" s="7">
        <v>3839.5</v>
      </c>
      <c r="C98" s="65">
        <v>66.98</v>
      </c>
      <c r="D98" s="6">
        <f t="shared" si="2"/>
        <v>1.4053183052255684E-2</v>
      </c>
      <c r="E98" s="10">
        <v>3.8800000000000001E-2</v>
      </c>
      <c r="F98" s="17">
        <f>'T. Bond yield &amp; return'!C103</f>
        <v>-0.1782817153825067</v>
      </c>
      <c r="G98" s="36">
        <f>'Moody''s Rates'!C115</f>
        <v>4.7E-2</v>
      </c>
      <c r="H98" s="6">
        <f t="shared" si="3"/>
        <v>-0.12882604931948061</v>
      </c>
      <c r="I98" s="37">
        <f>'Moody''s Rates'!K115</f>
        <v>5.8700000000000002E-2</v>
      </c>
      <c r="J98" s="38">
        <f t="shared" si="3"/>
        <v>-0.15228134867768467</v>
      </c>
      <c r="K98" s="37">
        <f>'Home Prices (Raw Data)'!C142</f>
        <v>5.667711058712066E-2</v>
      </c>
    </row>
    <row r="99" spans="1:11" ht="15.4">
      <c r="A99" s="31">
        <v>2023</v>
      </c>
      <c r="B99" s="7">
        <v>4769.8</v>
      </c>
      <c r="C99" s="65">
        <v>70.3</v>
      </c>
      <c r="D99" s="6">
        <f t="shared" si="2"/>
        <v>1.830967573902852E-2</v>
      </c>
      <c r="E99" s="10">
        <v>3.8800000000000001E-2</v>
      </c>
      <c r="F99" s="17">
        <f>'T. Bond yield &amp; return'!C104</f>
        <v>3.8800000000000001E-2</v>
      </c>
      <c r="G99" s="36">
        <f>'Moody''s Rates'!C116</f>
        <v>4.6500000000000007E-2</v>
      </c>
      <c r="H99" s="6">
        <f t="shared" si="3"/>
        <v>5.0927341345951074E-2</v>
      </c>
      <c r="I99" s="37">
        <f>'Moody''s Rates'!K116</f>
        <v>5.4900000000000004E-2</v>
      </c>
      <c r="J99" s="38">
        <f t="shared" si="3"/>
        <v>8.7356722013658433E-2</v>
      </c>
      <c r="K99" s="37">
        <f>'Home Prices (Raw Data)'!C143</f>
        <v>5.6371275341936755E-2</v>
      </c>
    </row>
    <row r="100" spans="1:11" ht="15.4">
      <c r="A100" s="31">
        <v>2024</v>
      </c>
      <c r="B100" s="7">
        <v>5881.63</v>
      </c>
      <c r="C100" s="65">
        <v>74.83</v>
      </c>
      <c r="D100" s="6">
        <f t="shared" si="2"/>
        <v>1.5688288817141179E-2</v>
      </c>
      <c r="E100" s="10">
        <v>4.58E-2</v>
      </c>
      <c r="F100" s="17">
        <f>'T. Bond yield &amp; return'!C105</f>
        <v>-1.6371801436629807E-2</v>
      </c>
      <c r="G100" s="36">
        <f>'Moody''s Rates'!C117</f>
        <v>5.4000000000000006E-2</v>
      </c>
      <c r="H100" s="6">
        <f t="shared" si="3"/>
        <v>-1.0304343965066499E-2</v>
      </c>
      <c r="I100" s="37">
        <f>'Moody''s Rates'!K117</f>
        <v>0.06</v>
      </c>
      <c r="J100" s="38">
        <f t="shared" si="3"/>
        <v>1.7363556037785111E-2</v>
      </c>
      <c r="K100" s="37">
        <f>'Home Prices (Raw Data)'!C144</f>
        <v>3.9634107131377494E-2</v>
      </c>
    </row>
    <row r="101" spans="1:11" ht="15.4">
      <c r="A101" s="31">
        <v>2025</v>
      </c>
      <c r="B101" s="7">
        <v>6845.5</v>
      </c>
      <c r="C101" s="65">
        <f>19.37+19.48+19.81+19.91</f>
        <v>78.569999999999993</v>
      </c>
      <c r="D101" s="6">
        <f t="shared" ref="D101" si="5">C101/B100</f>
        <v>1.335854176478289E-2</v>
      </c>
      <c r="E101" s="10">
        <v>4.1200000000000001E-2</v>
      </c>
      <c r="F101" s="17">
        <f>'T. Bond yield &amp; return'!C106</f>
        <v>7.7954808707673962E-2</v>
      </c>
      <c r="G101" s="36">
        <f>'Moody''s Rates'!C118</f>
        <v>5.3099999999999994E-2</v>
      </c>
      <c r="H101" s="6">
        <f t="shared" si="3"/>
        <v>6.0846117468871877E-2</v>
      </c>
      <c r="I101" s="37">
        <f>'Moody''s Rates'!K118</f>
        <v>5.8700000000000002E-2</v>
      </c>
      <c r="J101" s="38">
        <f t="shared" si="3"/>
        <v>6.9627320847848118E-2</v>
      </c>
      <c r="K101" s="37">
        <f>'Home Prices (Raw Data)'!C145</f>
        <v>1.5757065938450054E-2</v>
      </c>
    </row>
  </sheetData>
  <phoneticPr fontId="10"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9A2B-0B77-744B-9973-A3A3EE5DF144}">
  <dimension ref="A1:I194"/>
  <sheetViews>
    <sheetView topLeftCell="A80" workbookViewId="0">
      <selection activeCell="G99" sqref="G99:G109"/>
    </sheetView>
  </sheetViews>
  <sheetFormatPr defaultColWidth="11.07421875" defaultRowHeight="13.9"/>
  <cols>
    <col min="1" max="1" width="10.69140625" style="7"/>
  </cols>
  <sheetData>
    <row r="1" spans="1:3">
      <c r="A1" s="7" t="s">
        <v>5</v>
      </c>
      <c r="B1" t="s">
        <v>126</v>
      </c>
    </row>
    <row r="2" spans="1:3">
      <c r="A2" s="7">
        <v>1928</v>
      </c>
      <c r="B2" s="35">
        <f>C2/100</f>
        <v>0.62149999999999994</v>
      </c>
      <c r="C2">
        <v>62.15</v>
      </c>
    </row>
    <row r="3" spans="1:3">
      <c r="A3" s="7">
        <f>A2+1</f>
        <v>1929</v>
      </c>
      <c r="B3" s="35">
        <f t="shared" ref="B3:B66" si="0">C3/100</f>
        <v>-0.46079999999999999</v>
      </c>
      <c r="C3">
        <v>-46.08</v>
      </c>
    </row>
    <row r="4" spans="1:3">
      <c r="A4" s="7">
        <f t="shared" ref="A4:A67" si="1">A3+1</f>
        <v>1930</v>
      </c>
      <c r="B4" s="35">
        <f t="shared" si="0"/>
        <v>-0.48350000000000004</v>
      </c>
      <c r="C4">
        <v>-48.35</v>
      </c>
    </row>
    <row r="5" spans="1:3">
      <c r="A5" s="7">
        <f t="shared" si="1"/>
        <v>1931</v>
      </c>
      <c r="B5" s="35">
        <f t="shared" si="0"/>
        <v>-0.43619999999999998</v>
      </c>
      <c r="C5">
        <v>-43.62</v>
      </c>
    </row>
    <row r="6" spans="1:3">
      <c r="A6" s="7">
        <f t="shared" si="1"/>
        <v>1932</v>
      </c>
      <c r="B6" s="35">
        <f t="shared" si="0"/>
        <v>0.28649999999999998</v>
      </c>
      <c r="C6">
        <v>28.65</v>
      </c>
    </row>
    <row r="7" spans="1:3">
      <c r="A7" s="7">
        <f t="shared" si="1"/>
        <v>1933</v>
      </c>
      <c r="B7" s="35">
        <f t="shared" si="0"/>
        <v>1.466</v>
      </c>
      <c r="C7">
        <v>146.6</v>
      </c>
    </row>
    <row r="8" spans="1:3">
      <c r="A8" s="7">
        <f t="shared" si="1"/>
        <v>1934</v>
      </c>
      <c r="B8" s="35">
        <f t="shared" si="0"/>
        <v>0.23070000000000002</v>
      </c>
      <c r="C8">
        <v>23.07</v>
      </c>
    </row>
    <row r="9" spans="1:3">
      <c r="A9" s="7">
        <f t="shared" si="1"/>
        <v>1935</v>
      </c>
      <c r="B9" s="35">
        <f t="shared" si="0"/>
        <v>0.54899999999999993</v>
      </c>
      <c r="C9">
        <v>54.9</v>
      </c>
    </row>
    <row r="10" spans="1:3">
      <c r="A10" s="7">
        <f t="shared" si="1"/>
        <v>1936</v>
      </c>
      <c r="B10" s="35">
        <f t="shared" si="0"/>
        <v>0.96409999999999996</v>
      </c>
      <c r="C10">
        <v>96.41</v>
      </c>
    </row>
    <row r="11" spans="1:3">
      <c r="A11" s="7">
        <f t="shared" si="1"/>
        <v>1937</v>
      </c>
      <c r="B11" s="35">
        <f t="shared" si="0"/>
        <v>-0.53939999999999999</v>
      </c>
      <c r="C11">
        <v>-53.94</v>
      </c>
    </row>
    <row r="12" spans="1:3">
      <c r="A12" s="7">
        <f t="shared" si="1"/>
        <v>1938</v>
      </c>
      <c r="B12" s="35">
        <f t="shared" si="0"/>
        <v>5.16E-2</v>
      </c>
      <c r="C12">
        <v>5.16</v>
      </c>
    </row>
    <row r="13" spans="1:3">
      <c r="A13" s="7">
        <f t="shared" si="1"/>
        <v>1939</v>
      </c>
      <c r="B13" s="35">
        <f t="shared" si="0"/>
        <v>-4.8600000000000004E-2</v>
      </c>
      <c r="C13">
        <v>-4.8600000000000003</v>
      </c>
    </row>
    <row r="14" spans="1:3">
      <c r="A14" s="7">
        <f t="shared" si="1"/>
        <v>1940</v>
      </c>
      <c r="B14" s="35">
        <f t="shared" si="0"/>
        <v>-0.32880000000000004</v>
      </c>
      <c r="C14">
        <v>-32.880000000000003</v>
      </c>
    </row>
    <row r="15" spans="1:3">
      <c r="A15" s="7">
        <f t="shared" si="1"/>
        <v>1941</v>
      </c>
      <c r="B15" s="35">
        <f t="shared" si="0"/>
        <v>-6.7500000000000004E-2</v>
      </c>
      <c r="C15">
        <v>-6.75</v>
      </c>
    </row>
    <row r="16" spans="1:3">
      <c r="A16" s="7">
        <f t="shared" si="1"/>
        <v>1942</v>
      </c>
      <c r="B16" s="35">
        <f t="shared" si="0"/>
        <v>0.63009999999999999</v>
      </c>
      <c r="C16">
        <v>63.01</v>
      </c>
    </row>
    <row r="17" spans="1:3">
      <c r="A17" s="7">
        <f t="shared" si="1"/>
        <v>1943</v>
      </c>
      <c r="B17" s="35">
        <f t="shared" si="0"/>
        <v>1.4302000000000001</v>
      </c>
      <c r="C17">
        <v>143.02000000000001</v>
      </c>
    </row>
    <row r="18" spans="1:3">
      <c r="A18" s="7">
        <f t="shared" si="1"/>
        <v>1944</v>
      </c>
      <c r="B18" s="35">
        <f t="shared" si="0"/>
        <v>0.71150000000000002</v>
      </c>
      <c r="C18">
        <v>71.150000000000006</v>
      </c>
    </row>
    <row r="19" spans="1:3">
      <c r="A19" s="7">
        <f t="shared" si="1"/>
        <v>1945</v>
      </c>
      <c r="B19" s="35">
        <f t="shared" si="0"/>
        <v>0.94409999999999994</v>
      </c>
      <c r="C19">
        <v>94.41</v>
      </c>
    </row>
    <row r="20" spans="1:3">
      <c r="A20" s="7">
        <f t="shared" si="1"/>
        <v>1946</v>
      </c>
      <c r="B20" s="35">
        <f t="shared" si="0"/>
        <v>-0.13730000000000001</v>
      </c>
      <c r="C20">
        <v>-13.73</v>
      </c>
    </row>
    <row r="21" spans="1:3">
      <c r="A21" s="7">
        <f t="shared" si="1"/>
        <v>1947</v>
      </c>
      <c r="B21" s="35">
        <f t="shared" si="0"/>
        <v>-1.7399999999999999E-2</v>
      </c>
      <c r="C21">
        <v>-1.74</v>
      </c>
    </row>
    <row r="22" spans="1:3">
      <c r="A22" s="7">
        <f t="shared" si="1"/>
        <v>1948</v>
      </c>
      <c r="B22" s="35">
        <f t="shared" si="0"/>
        <v>-1E-4</v>
      </c>
      <c r="C22">
        <v>-0.01</v>
      </c>
    </row>
    <row r="23" spans="1:3">
      <c r="A23" s="7">
        <f t="shared" si="1"/>
        <v>1949</v>
      </c>
      <c r="B23" s="35">
        <f t="shared" si="0"/>
        <v>0.27600000000000002</v>
      </c>
      <c r="C23">
        <v>27.6</v>
      </c>
    </row>
    <row r="24" spans="1:3">
      <c r="A24" s="7">
        <f t="shared" si="1"/>
        <v>1950</v>
      </c>
      <c r="B24" s="35">
        <f t="shared" si="0"/>
        <v>0.52810000000000001</v>
      </c>
      <c r="C24">
        <v>52.81</v>
      </c>
    </row>
    <row r="25" spans="1:3">
      <c r="A25" s="7">
        <f t="shared" si="1"/>
        <v>1951</v>
      </c>
      <c r="B25" s="35">
        <f t="shared" si="0"/>
        <v>3.8699999999999998E-2</v>
      </c>
      <c r="C25">
        <v>3.87</v>
      </c>
    </row>
    <row r="26" spans="1:3">
      <c r="A26" s="7">
        <f t="shared" si="1"/>
        <v>1952</v>
      </c>
      <c r="B26" s="35">
        <f t="shared" si="0"/>
        <v>1.0200000000000001E-2</v>
      </c>
      <c r="C26">
        <v>1.02</v>
      </c>
    </row>
    <row r="27" spans="1:3">
      <c r="A27" s="7">
        <f t="shared" si="1"/>
        <v>1953</v>
      </c>
      <c r="B27" s="35">
        <f t="shared" si="0"/>
        <v>-5.9699999999999996E-2</v>
      </c>
      <c r="C27">
        <v>-5.97</v>
      </c>
    </row>
    <row r="28" spans="1:3">
      <c r="A28" s="7">
        <f t="shared" si="1"/>
        <v>1954</v>
      </c>
      <c r="B28" s="35">
        <f t="shared" si="0"/>
        <v>0.64969999999999994</v>
      </c>
      <c r="C28">
        <v>64.97</v>
      </c>
    </row>
    <row r="29" spans="1:3">
      <c r="A29" s="7">
        <f t="shared" si="1"/>
        <v>1955</v>
      </c>
      <c r="B29" s="35">
        <f t="shared" si="0"/>
        <v>0.26719999999999999</v>
      </c>
      <c r="C29">
        <v>26.72</v>
      </c>
    </row>
    <row r="30" spans="1:3">
      <c r="A30" s="7">
        <f t="shared" si="1"/>
        <v>1956</v>
      </c>
      <c r="B30" s="35">
        <f t="shared" si="0"/>
        <v>-8.8999999999999999E-3</v>
      </c>
      <c r="C30">
        <v>-0.89</v>
      </c>
    </row>
    <row r="31" spans="1:3">
      <c r="A31" s="7">
        <f t="shared" si="1"/>
        <v>1957</v>
      </c>
      <c r="B31" s="35">
        <f t="shared" si="0"/>
        <v>-0.15190000000000001</v>
      </c>
      <c r="C31">
        <v>-15.19</v>
      </c>
    </row>
    <row r="32" spans="1:3">
      <c r="A32" s="7">
        <f t="shared" si="1"/>
        <v>1958</v>
      </c>
      <c r="B32" s="35">
        <f t="shared" si="0"/>
        <v>0.68799999999999994</v>
      </c>
      <c r="C32">
        <v>68.8</v>
      </c>
    </row>
    <row r="33" spans="1:3">
      <c r="A33" s="7">
        <f t="shared" si="1"/>
        <v>1959</v>
      </c>
      <c r="B33" s="35">
        <f t="shared" si="0"/>
        <v>0.127</v>
      </c>
      <c r="C33">
        <v>12.7</v>
      </c>
    </row>
    <row r="34" spans="1:3">
      <c r="A34" s="7">
        <f t="shared" si="1"/>
        <v>1960</v>
      </c>
      <c r="B34" s="35">
        <f t="shared" si="0"/>
        <v>-3.5699999999999996E-2</v>
      </c>
      <c r="C34">
        <v>-3.57</v>
      </c>
    </row>
    <row r="35" spans="1:3">
      <c r="A35" s="7">
        <f t="shared" si="1"/>
        <v>1961</v>
      </c>
      <c r="B35" s="35">
        <f t="shared" si="0"/>
        <v>0.29449999999999998</v>
      </c>
      <c r="C35">
        <v>29.45</v>
      </c>
    </row>
    <row r="36" spans="1:3">
      <c r="A36" s="7">
        <f t="shared" si="1"/>
        <v>1962</v>
      </c>
      <c r="B36" s="35">
        <f t="shared" si="0"/>
        <v>-9.7799999999999998E-2</v>
      </c>
      <c r="C36">
        <v>-9.7799999999999994</v>
      </c>
    </row>
    <row r="37" spans="1:3">
      <c r="A37" s="7">
        <f t="shared" si="1"/>
        <v>1963</v>
      </c>
      <c r="B37" s="35">
        <f t="shared" si="0"/>
        <v>0.19649999999999998</v>
      </c>
      <c r="C37">
        <v>19.649999999999999</v>
      </c>
    </row>
    <row r="38" spans="1:3">
      <c r="A38" s="7">
        <f t="shared" si="1"/>
        <v>1964</v>
      </c>
      <c r="B38" s="35">
        <f t="shared" si="0"/>
        <v>0.23250000000000001</v>
      </c>
      <c r="C38">
        <v>23.25</v>
      </c>
    </row>
    <row r="39" spans="1:3">
      <c r="A39" s="7">
        <f t="shared" si="1"/>
        <v>1965</v>
      </c>
      <c r="B39" s="35">
        <f t="shared" si="0"/>
        <v>0.45240000000000002</v>
      </c>
      <c r="C39">
        <v>45.24</v>
      </c>
    </row>
    <row r="40" spans="1:3">
      <c r="A40" s="7">
        <f t="shared" si="1"/>
        <v>1966</v>
      </c>
      <c r="B40" s="35">
        <f t="shared" si="0"/>
        <v>-9.4700000000000006E-2</v>
      </c>
      <c r="C40">
        <v>-9.4700000000000006</v>
      </c>
    </row>
    <row r="41" spans="1:3">
      <c r="A41" s="7">
        <f t="shared" si="1"/>
        <v>1967</v>
      </c>
      <c r="B41" s="35">
        <f t="shared" si="0"/>
        <v>1.1587000000000001</v>
      </c>
      <c r="C41">
        <v>115.87</v>
      </c>
    </row>
    <row r="42" spans="1:3">
      <c r="A42" s="7">
        <f t="shared" si="1"/>
        <v>1968</v>
      </c>
      <c r="B42" s="35">
        <f t="shared" si="0"/>
        <v>0.6069</v>
      </c>
      <c r="C42">
        <v>60.69</v>
      </c>
    </row>
    <row r="43" spans="1:3">
      <c r="A43" s="7">
        <f t="shared" si="1"/>
        <v>1969</v>
      </c>
      <c r="B43" s="35">
        <f t="shared" si="0"/>
        <v>-0.32950000000000002</v>
      </c>
      <c r="C43">
        <v>-32.950000000000003</v>
      </c>
    </row>
    <row r="44" spans="1:3">
      <c r="A44" s="7">
        <f t="shared" si="1"/>
        <v>1970</v>
      </c>
      <c r="B44" s="35">
        <f t="shared" si="0"/>
        <v>-0.18780000000000002</v>
      </c>
      <c r="C44">
        <v>-18.78</v>
      </c>
    </row>
    <row r="45" spans="1:3">
      <c r="A45" s="7">
        <f t="shared" si="1"/>
        <v>1971</v>
      </c>
      <c r="B45" s="35">
        <f t="shared" si="0"/>
        <v>0.15960000000000002</v>
      </c>
      <c r="C45">
        <v>15.96</v>
      </c>
    </row>
    <row r="46" spans="1:3">
      <c r="A46" s="7">
        <f t="shared" si="1"/>
        <v>1972</v>
      </c>
      <c r="B46" s="35">
        <f t="shared" si="0"/>
        <v>1.6000000000000001E-3</v>
      </c>
      <c r="C46">
        <v>0.16</v>
      </c>
    </row>
    <row r="47" spans="1:3">
      <c r="A47" s="7">
        <f t="shared" si="1"/>
        <v>1973</v>
      </c>
      <c r="B47" s="35">
        <f t="shared" si="0"/>
        <v>-0.38799999999999996</v>
      </c>
      <c r="C47">
        <v>-38.799999999999997</v>
      </c>
    </row>
    <row r="48" spans="1:3">
      <c r="A48" s="7">
        <f t="shared" si="1"/>
        <v>1974</v>
      </c>
      <c r="B48" s="35">
        <f t="shared" si="0"/>
        <v>-0.26899999999999996</v>
      </c>
      <c r="C48">
        <v>-26.9</v>
      </c>
    </row>
    <row r="49" spans="1:3">
      <c r="A49" s="7">
        <f t="shared" si="1"/>
        <v>1975</v>
      </c>
      <c r="B49" s="35">
        <f t="shared" si="0"/>
        <v>0.5968</v>
      </c>
      <c r="C49">
        <v>59.68</v>
      </c>
    </row>
    <row r="50" spans="1:3">
      <c r="A50" s="7">
        <f t="shared" si="1"/>
        <v>1976</v>
      </c>
      <c r="B50" s="35">
        <f t="shared" si="0"/>
        <v>0.48619999999999997</v>
      </c>
      <c r="C50">
        <v>48.62</v>
      </c>
    </row>
    <row r="51" spans="1:3">
      <c r="A51" s="7">
        <f t="shared" si="1"/>
        <v>1977</v>
      </c>
      <c r="B51" s="35">
        <f t="shared" si="0"/>
        <v>0.3029</v>
      </c>
      <c r="C51">
        <v>30.29</v>
      </c>
    </row>
    <row r="52" spans="1:3">
      <c r="A52" s="7">
        <f t="shared" si="1"/>
        <v>1978</v>
      </c>
      <c r="B52" s="35">
        <f t="shared" si="0"/>
        <v>0.28889999999999999</v>
      </c>
      <c r="C52">
        <v>28.89</v>
      </c>
    </row>
    <row r="53" spans="1:3">
      <c r="A53" s="7">
        <f t="shared" si="1"/>
        <v>1979</v>
      </c>
      <c r="B53" s="35">
        <f t="shared" si="0"/>
        <v>0.41689999999999999</v>
      </c>
      <c r="C53">
        <v>41.69</v>
      </c>
    </row>
    <row r="54" spans="1:3">
      <c r="A54" s="7">
        <f t="shared" si="1"/>
        <v>1980</v>
      </c>
      <c r="B54" s="35">
        <f t="shared" si="0"/>
        <v>0.41920000000000002</v>
      </c>
      <c r="C54">
        <v>41.92</v>
      </c>
    </row>
    <row r="55" spans="1:3">
      <c r="A55" s="7">
        <f t="shared" si="1"/>
        <v>1981</v>
      </c>
      <c r="B55" s="35">
        <f t="shared" si="0"/>
        <v>-4.2900000000000001E-2</v>
      </c>
      <c r="C55">
        <v>-4.29</v>
      </c>
    </row>
    <row r="56" spans="1:3">
      <c r="A56" s="7">
        <f t="shared" si="1"/>
        <v>1982</v>
      </c>
      <c r="B56" s="35">
        <f t="shared" si="0"/>
        <v>0.26850000000000002</v>
      </c>
      <c r="C56">
        <v>26.85</v>
      </c>
    </row>
    <row r="57" spans="1:3">
      <c r="A57" s="7">
        <f t="shared" si="1"/>
        <v>1983</v>
      </c>
      <c r="B57" s="35">
        <f t="shared" si="0"/>
        <v>0.34860000000000002</v>
      </c>
      <c r="C57">
        <v>34.86</v>
      </c>
    </row>
    <row r="58" spans="1:3">
      <c r="A58" s="7">
        <f t="shared" si="1"/>
        <v>1984</v>
      </c>
      <c r="B58" s="35">
        <f t="shared" si="0"/>
        <v>-0.14499999999999999</v>
      </c>
      <c r="C58">
        <v>-14.5</v>
      </c>
    </row>
    <row r="59" spans="1:3">
      <c r="A59" s="7">
        <f t="shared" si="1"/>
        <v>1985</v>
      </c>
      <c r="B59" s="35">
        <f t="shared" si="0"/>
        <v>0.24510000000000001</v>
      </c>
      <c r="C59">
        <v>24.51</v>
      </c>
    </row>
    <row r="60" spans="1:3">
      <c r="A60" s="7">
        <f t="shared" si="1"/>
        <v>1986</v>
      </c>
      <c r="B60" s="35">
        <f t="shared" si="0"/>
        <v>2.0899999999999998E-2</v>
      </c>
      <c r="C60">
        <v>2.09</v>
      </c>
    </row>
    <row r="61" spans="1:3">
      <c r="A61" s="7">
        <f t="shared" si="1"/>
        <v>1987</v>
      </c>
      <c r="B61" s="35">
        <f t="shared" si="0"/>
        <v>-0.14000000000000001</v>
      </c>
      <c r="C61">
        <v>-14</v>
      </c>
    </row>
    <row r="62" spans="1:3">
      <c r="A62" s="7">
        <f t="shared" si="1"/>
        <v>1988</v>
      </c>
      <c r="B62" s="35">
        <f t="shared" si="0"/>
        <v>0.17149999999999999</v>
      </c>
      <c r="C62">
        <v>17.149999999999999</v>
      </c>
    </row>
    <row r="63" spans="1:3">
      <c r="A63" s="7">
        <f t="shared" si="1"/>
        <v>1989</v>
      </c>
      <c r="B63" s="35">
        <f t="shared" si="0"/>
        <v>6.9599999999999995E-2</v>
      </c>
      <c r="C63">
        <v>6.96</v>
      </c>
    </row>
    <row r="64" spans="1:3">
      <c r="A64" s="7">
        <f t="shared" si="1"/>
        <v>1990</v>
      </c>
      <c r="B64" s="35">
        <f t="shared" si="0"/>
        <v>-0.2777</v>
      </c>
      <c r="C64">
        <v>-27.77</v>
      </c>
    </row>
    <row r="65" spans="1:3">
      <c r="A65" s="7">
        <f t="shared" si="1"/>
        <v>1991</v>
      </c>
      <c r="B65" s="35">
        <f t="shared" si="0"/>
        <v>0.4607</v>
      </c>
      <c r="C65">
        <v>46.07</v>
      </c>
    </row>
    <row r="66" spans="1:3">
      <c r="A66" s="7">
        <f t="shared" si="1"/>
        <v>1992</v>
      </c>
      <c r="B66" s="35">
        <f t="shared" si="0"/>
        <v>0.25340000000000001</v>
      </c>
      <c r="C66">
        <v>25.34</v>
      </c>
    </row>
    <row r="67" spans="1:3">
      <c r="A67" s="7">
        <f t="shared" si="1"/>
        <v>1993</v>
      </c>
      <c r="B67" s="35">
        <f t="shared" ref="B67:B99" si="2">C67/100</f>
        <v>0.25559999999999999</v>
      </c>
      <c r="C67">
        <v>25.56</v>
      </c>
    </row>
    <row r="68" spans="1:3">
      <c r="A68" s="7">
        <f t="shared" ref="A68:A97" si="3">A67+1</f>
        <v>1994</v>
      </c>
      <c r="B68" s="35">
        <f t="shared" si="2"/>
        <v>-4.7599999999999996E-2</v>
      </c>
      <c r="C68">
        <v>-4.76</v>
      </c>
    </row>
    <row r="69" spans="1:3">
      <c r="A69" s="7">
        <f t="shared" si="3"/>
        <v>1995</v>
      </c>
      <c r="B69" s="35">
        <f t="shared" si="2"/>
        <v>0.32119999999999999</v>
      </c>
      <c r="C69">
        <v>32.119999999999997</v>
      </c>
    </row>
    <row r="70" spans="1:3">
      <c r="A70" s="7">
        <f t="shared" si="3"/>
        <v>1996</v>
      </c>
      <c r="B70" s="35">
        <f t="shared" si="2"/>
        <v>0.1479</v>
      </c>
      <c r="C70">
        <v>14.79</v>
      </c>
    </row>
    <row r="71" spans="1:3">
      <c r="A71" s="7">
        <f t="shared" si="3"/>
        <v>1997</v>
      </c>
      <c r="B71" s="35">
        <f t="shared" si="2"/>
        <v>0.22059999999999999</v>
      </c>
      <c r="C71">
        <v>22.06</v>
      </c>
    </row>
    <row r="72" spans="1:3">
      <c r="A72" s="7">
        <f t="shared" si="3"/>
        <v>1998</v>
      </c>
      <c r="B72" s="35">
        <f t="shared" si="2"/>
        <v>-0.13470000000000001</v>
      </c>
      <c r="C72">
        <v>-13.47</v>
      </c>
    </row>
    <row r="73" spans="1:3">
      <c r="A73" s="7">
        <f t="shared" si="3"/>
        <v>1999</v>
      </c>
      <c r="B73" s="35">
        <f t="shared" si="2"/>
        <v>0.37709999999999999</v>
      </c>
      <c r="C73">
        <v>37.71</v>
      </c>
    </row>
    <row r="74" spans="1:3">
      <c r="A74" s="7">
        <f t="shared" si="3"/>
        <v>2000</v>
      </c>
      <c r="B74" s="35">
        <f t="shared" si="2"/>
        <v>-9.1300000000000006E-2</v>
      </c>
      <c r="C74">
        <v>-9.1300000000000008</v>
      </c>
    </row>
    <row r="75" spans="1:3">
      <c r="A75" s="7">
        <f t="shared" si="3"/>
        <v>2001</v>
      </c>
      <c r="B75" s="35">
        <f t="shared" si="2"/>
        <v>0.32140000000000002</v>
      </c>
      <c r="C75">
        <v>32.14</v>
      </c>
    </row>
    <row r="76" spans="1:3">
      <c r="A76" s="7">
        <f t="shared" si="3"/>
        <v>2002</v>
      </c>
      <c r="B76" s="35">
        <f t="shared" si="2"/>
        <v>-3.61E-2</v>
      </c>
      <c r="C76">
        <v>-3.61</v>
      </c>
    </row>
    <row r="77" spans="1:3">
      <c r="A77" s="7">
        <f t="shared" si="3"/>
        <v>2003</v>
      </c>
      <c r="B77" s="35">
        <f t="shared" si="2"/>
        <v>0.9123</v>
      </c>
      <c r="C77">
        <v>91.23</v>
      </c>
    </row>
    <row r="78" spans="1:3">
      <c r="A78" s="7">
        <f t="shared" si="3"/>
        <v>2004</v>
      </c>
      <c r="B78" s="35">
        <f t="shared" si="2"/>
        <v>0.17300000000000001</v>
      </c>
      <c r="C78">
        <v>17.3</v>
      </c>
    </row>
    <row r="79" spans="1:3">
      <c r="A79" s="7">
        <f t="shared" si="3"/>
        <v>2005</v>
      </c>
      <c r="B79" s="35">
        <f t="shared" si="2"/>
        <v>3.78E-2</v>
      </c>
      <c r="C79">
        <v>3.78</v>
      </c>
    </row>
    <row r="80" spans="1:3">
      <c r="A80" s="7">
        <f t="shared" si="3"/>
        <v>2006</v>
      </c>
      <c r="B80" s="35">
        <f t="shared" si="2"/>
        <v>0.184</v>
      </c>
      <c r="C80">
        <v>18.399999999999999</v>
      </c>
    </row>
    <row r="81" spans="1:3">
      <c r="A81" s="7">
        <f t="shared" si="3"/>
        <v>2007</v>
      </c>
      <c r="B81" s="35">
        <f t="shared" si="2"/>
        <v>-9.11E-2</v>
      </c>
      <c r="C81">
        <v>-9.11</v>
      </c>
    </row>
    <row r="82" spans="1:3">
      <c r="A82" s="7">
        <f t="shared" si="3"/>
        <v>2008</v>
      </c>
      <c r="B82" s="35">
        <f t="shared" si="2"/>
        <v>-0.44679999999999997</v>
      </c>
      <c r="C82">
        <v>-44.68</v>
      </c>
    </row>
    <row r="83" spans="1:3">
      <c r="A83" s="7">
        <f t="shared" si="3"/>
        <v>2009</v>
      </c>
      <c r="B83" s="35">
        <f t="shared" si="2"/>
        <v>0.46939999999999998</v>
      </c>
      <c r="C83">
        <v>46.94</v>
      </c>
    </row>
    <row r="84" spans="1:3">
      <c r="A84" s="7">
        <f t="shared" si="3"/>
        <v>2010</v>
      </c>
      <c r="B84" s="35">
        <f t="shared" si="2"/>
        <v>0.27729999999999999</v>
      </c>
      <c r="C84">
        <v>27.73</v>
      </c>
    </row>
    <row r="85" spans="1:3">
      <c r="A85" s="7">
        <f t="shared" si="3"/>
        <v>2011</v>
      </c>
      <c r="B85" s="35">
        <f t="shared" si="2"/>
        <v>-0.1404</v>
      </c>
      <c r="C85">
        <v>-14.04</v>
      </c>
    </row>
    <row r="86" spans="1:3">
      <c r="A86" s="7">
        <f t="shared" si="3"/>
        <v>2012</v>
      </c>
      <c r="B86" s="35">
        <f t="shared" si="2"/>
        <v>0.18960000000000002</v>
      </c>
      <c r="C86">
        <v>18.96</v>
      </c>
    </row>
    <row r="87" spans="1:3">
      <c r="A87" s="7">
        <f t="shared" si="3"/>
        <v>2013</v>
      </c>
      <c r="B87" s="35">
        <f t="shared" si="2"/>
        <v>0.503</v>
      </c>
      <c r="C87">
        <v>50.3</v>
      </c>
    </row>
    <row r="88" spans="1:3">
      <c r="A88" s="7">
        <f t="shared" si="3"/>
        <v>2014</v>
      </c>
      <c r="B88" s="35">
        <f t="shared" si="2"/>
        <v>1.5300000000000001E-2</v>
      </c>
      <c r="C88">
        <v>1.53</v>
      </c>
    </row>
    <row r="89" spans="1:3">
      <c r="A89" s="7">
        <f t="shared" si="3"/>
        <v>2015</v>
      </c>
      <c r="B89" s="35">
        <f t="shared" si="2"/>
        <v>-9.1199999999999989E-2</v>
      </c>
      <c r="C89">
        <v>-9.1199999999999992</v>
      </c>
    </row>
    <row r="90" spans="1:3">
      <c r="A90" s="7">
        <f t="shared" si="3"/>
        <v>2016</v>
      </c>
      <c r="B90" s="35">
        <f t="shared" si="2"/>
        <v>0.17019999999999999</v>
      </c>
      <c r="C90">
        <v>17.02</v>
      </c>
    </row>
    <row r="91" spans="1:3">
      <c r="A91" s="7">
        <f t="shared" si="3"/>
        <v>2017</v>
      </c>
      <c r="B91" s="35">
        <f t="shared" si="2"/>
        <v>0.15130000000000002</v>
      </c>
      <c r="C91">
        <v>15.13</v>
      </c>
    </row>
    <row r="92" spans="1:3">
      <c r="A92" s="7">
        <f t="shared" si="3"/>
        <v>2018</v>
      </c>
      <c r="B92" s="35">
        <f t="shared" si="2"/>
        <v>-0.16210000000000002</v>
      </c>
      <c r="C92">
        <v>-16.21</v>
      </c>
    </row>
    <row r="93" spans="1:3">
      <c r="A93" s="7">
        <f t="shared" si="3"/>
        <v>2019</v>
      </c>
      <c r="B93" s="35">
        <f t="shared" si="2"/>
        <v>0.1192</v>
      </c>
      <c r="C93">
        <v>11.92</v>
      </c>
    </row>
    <row r="94" spans="1:3">
      <c r="A94" s="7">
        <f t="shared" si="3"/>
        <v>2020</v>
      </c>
      <c r="B94" s="35">
        <f t="shared" si="2"/>
        <v>0.34159999999999996</v>
      </c>
      <c r="C94">
        <v>34.159999999999997</v>
      </c>
    </row>
    <row r="95" spans="1:3">
      <c r="A95" s="7">
        <f t="shared" si="3"/>
        <v>2021</v>
      </c>
      <c r="B95" s="35">
        <f t="shared" si="2"/>
        <v>0.22409999999999999</v>
      </c>
      <c r="C95">
        <v>22.41</v>
      </c>
    </row>
    <row r="96" spans="1:3">
      <c r="A96" s="7">
        <f t="shared" si="3"/>
        <v>2022</v>
      </c>
      <c r="B96" s="35">
        <f t="shared" si="2"/>
        <v>-0.22899999999999998</v>
      </c>
      <c r="C96">
        <v>-22.9</v>
      </c>
    </row>
    <row r="97" spans="1:9">
      <c r="A97" s="7">
        <f t="shared" si="3"/>
        <v>2023</v>
      </c>
      <c r="B97" s="35">
        <f t="shared" si="2"/>
        <v>5.1900000000000002E-2</v>
      </c>
      <c r="C97">
        <v>5.19</v>
      </c>
    </row>
    <row r="98" spans="1:9" ht="15.75">
      <c r="A98" s="7">
        <v>2024</v>
      </c>
      <c r="B98" s="35">
        <f t="shared" si="2"/>
        <v>8.6999999999999994E-2</v>
      </c>
      <c r="C98">
        <v>8.6999999999999993</v>
      </c>
      <c r="I98" s="119"/>
    </row>
    <row r="99" spans="1:9" ht="15.75">
      <c r="A99" s="7">
        <v>2025</v>
      </c>
      <c r="B99" s="35">
        <f t="shared" si="2"/>
        <v>0.1653</v>
      </c>
      <c r="C99">
        <v>16.53</v>
      </c>
      <c r="D99" t="s">
        <v>132</v>
      </c>
      <c r="I99" s="119"/>
    </row>
    <row r="100" spans="1:9" ht="15.75">
      <c r="I100" s="119"/>
    </row>
    <row r="101" spans="1:9" ht="15.75">
      <c r="I101" s="119"/>
    </row>
    <row r="102" spans="1:9" ht="15.75">
      <c r="I102" s="119"/>
    </row>
    <row r="103" spans="1:9" ht="15.75">
      <c r="I103" s="119"/>
    </row>
    <row r="104" spans="1:9" ht="15.75">
      <c r="I104" s="119"/>
    </row>
    <row r="105" spans="1:9" ht="15.75">
      <c r="I105" s="119"/>
    </row>
    <row r="106" spans="1:9" ht="15.75">
      <c r="I106" s="119"/>
    </row>
    <row r="107" spans="1:9" ht="15.75">
      <c r="I107" s="119"/>
    </row>
    <row r="108" spans="1:9" ht="15.75">
      <c r="I108" s="119"/>
    </row>
    <row r="109" spans="1:9" ht="15.75">
      <c r="I109" s="119"/>
    </row>
    <row r="110" spans="1:9" ht="15.75">
      <c r="I110" s="119"/>
    </row>
    <row r="111" spans="1:9" ht="15.75">
      <c r="I111" s="119"/>
    </row>
    <row r="112" spans="1:9" ht="15.75">
      <c r="I112" s="119"/>
    </row>
    <row r="113" spans="9:9" ht="15.75">
      <c r="I113" s="119"/>
    </row>
    <row r="114" spans="9:9" ht="15.75">
      <c r="I114" s="119"/>
    </row>
    <row r="115" spans="9:9" ht="15.75">
      <c r="I115" s="119"/>
    </row>
    <row r="116" spans="9:9" ht="15.75">
      <c r="I116" s="119"/>
    </row>
    <row r="117" spans="9:9" ht="15.75">
      <c r="I117" s="119"/>
    </row>
    <row r="118" spans="9:9" ht="15.75">
      <c r="I118" s="119"/>
    </row>
    <row r="119" spans="9:9" ht="15.75">
      <c r="I119" s="119"/>
    </row>
    <row r="120" spans="9:9" ht="15.75">
      <c r="I120" s="119"/>
    </row>
    <row r="121" spans="9:9" ht="15.75">
      <c r="I121" s="119"/>
    </row>
    <row r="122" spans="9:9" ht="15.75">
      <c r="I122" s="119"/>
    </row>
    <row r="123" spans="9:9" ht="15.75">
      <c r="I123" s="119"/>
    </row>
    <row r="124" spans="9:9" ht="15.75">
      <c r="I124" s="119"/>
    </row>
    <row r="125" spans="9:9" ht="15.75">
      <c r="I125" s="119"/>
    </row>
    <row r="126" spans="9:9" ht="15.75">
      <c r="I126" s="119"/>
    </row>
    <row r="127" spans="9:9" ht="15.75">
      <c r="I127" s="119"/>
    </row>
    <row r="128" spans="9:9" ht="15.75">
      <c r="I128" s="119"/>
    </row>
    <row r="129" spans="9:9" ht="15.75">
      <c r="I129" s="119"/>
    </row>
    <row r="130" spans="9:9" ht="15.75">
      <c r="I130" s="119"/>
    </row>
    <row r="131" spans="9:9" ht="15.75">
      <c r="I131" s="119"/>
    </row>
    <row r="132" spans="9:9" ht="15.75">
      <c r="I132" s="119"/>
    </row>
    <row r="133" spans="9:9" ht="15.75">
      <c r="I133" s="119"/>
    </row>
    <row r="134" spans="9:9" ht="15.75">
      <c r="I134" s="119"/>
    </row>
    <row r="135" spans="9:9" ht="15.75">
      <c r="I135" s="119"/>
    </row>
    <row r="136" spans="9:9" ht="15.75">
      <c r="I136" s="119"/>
    </row>
    <row r="137" spans="9:9" ht="15.75">
      <c r="I137" s="119"/>
    </row>
    <row r="138" spans="9:9" ht="15.75">
      <c r="I138" s="119"/>
    </row>
    <row r="139" spans="9:9" ht="15.75">
      <c r="I139" s="119"/>
    </row>
    <row r="140" spans="9:9" ht="15.75">
      <c r="I140" s="119"/>
    </row>
    <row r="141" spans="9:9" ht="15.75">
      <c r="I141" s="119"/>
    </row>
    <row r="142" spans="9:9" ht="15.75">
      <c r="I142" s="119"/>
    </row>
    <row r="143" spans="9:9" ht="15.75">
      <c r="I143" s="119"/>
    </row>
    <row r="144" spans="9:9" ht="15.75">
      <c r="I144" s="119"/>
    </row>
    <row r="145" spans="9:9" ht="15.75">
      <c r="I145" s="119"/>
    </row>
    <row r="146" spans="9:9" ht="15.75">
      <c r="I146" s="119"/>
    </row>
    <row r="147" spans="9:9" ht="15.75">
      <c r="I147" s="119"/>
    </row>
    <row r="148" spans="9:9" ht="15.75">
      <c r="I148" s="119"/>
    </row>
    <row r="149" spans="9:9" ht="15.75">
      <c r="I149" s="119"/>
    </row>
    <row r="150" spans="9:9" ht="15.75">
      <c r="I150" s="119"/>
    </row>
    <row r="151" spans="9:9" ht="15.75">
      <c r="I151" s="119"/>
    </row>
    <row r="152" spans="9:9" ht="15.75">
      <c r="I152" s="119"/>
    </row>
    <row r="153" spans="9:9" ht="15.75">
      <c r="I153" s="119"/>
    </row>
    <row r="154" spans="9:9" ht="15.75">
      <c r="I154" s="119"/>
    </row>
    <row r="155" spans="9:9" ht="15.75">
      <c r="I155" s="119"/>
    </row>
    <row r="156" spans="9:9" ht="15.75">
      <c r="I156" s="119"/>
    </row>
    <row r="157" spans="9:9" ht="15.75">
      <c r="I157" s="119"/>
    </row>
    <row r="158" spans="9:9" ht="15.75">
      <c r="I158" s="119"/>
    </row>
    <row r="159" spans="9:9" ht="15.75">
      <c r="I159" s="119"/>
    </row>
    <row r="160" spans="9:9" ht="15.75">
      <c r="I160" s="119"/>
    </row>
    <row r="161" spans="9:9" ht="15.75">
      <c r="I161" s="119"/>
    </row>
    <row r="162" spans="9:9" ht="15.75">
      <c r="I162" s="119"/>
    </row>
    <row r="163" spans="9:9" ht="15.75">
      <c r="I163" s="119"/>
    </row>
    <row r="164" spans="9:9" ht="15.75">
      <c r="I164" s="119"/>
    </row>
    <row r="165" spans="9:9" ht="15.75">
      <c r="I165" s="119"/>
    </row>
    <row r="166" spans="9:9" ht="15.75">
      <c r="I166" s="119"/>
    </row>
    <row r="167" spans="9:9" ht="15.75">
      <c r="I167" s="119"/>
    </row>
    <row r="168" spans="9:9" ht="15.75">
      <c r="I168" s="119"/>
    </row>
    <row r="169" spans="9:9" ht="15.75">
      <c r="I169" s="119"/>
    </row>
    <row r="170" spans="9:9" ht="15.75">
      <c r="I170" s="119"/>
    </row>
    <row r="171" spans="9:9" ht="15.75">
      <c r="I171" s="119"/>
    </row>
    <row r="172" spans="9:9" ht="15.75">
      <c r="I172" s="119"/>
    </row>
    <row r="173" spans="9:9" ht="15.75">
      <c r="I173" s="119"/>
    </row>
    <row r="174" spans="9:9" ht="15.75">
      <c r="I174" s="119"/>
    </row>
    <row r="175" spans="9:9" ht="15.75">
      <c r="I175" s="119"/>
    </row>
    <row r="176" spans="9:9" ht="15.75">
      <c r="I176" s="119"/>
    </row>
    <row r="177" spans="9:9" ht="15.75">
      <c r="I177" s="119"/>
    </row>
    <row r="178" spans="9:9" ht="15.75">
      <c r="I178" s="119"/>
    </row>
    <row r="179" spans="9:9" ht="15.75">
      <c r="I179" s="119"/>
    </row>
    <row r="180" spans="9:9" ht="15.75">
      <c r="I180" s="119"/>
    </row>
    <row r="181" spans="9:9" ht="15.75">
      <c r="I181" s="119"/>
    </row>
    <row r="182" spans="9:9" ht="15.75">
      <c r="I182" s="119"/>
    </row>
    <row r="183" spans="9:9" ht="15.75">
      <c r="I183" s="119"/>
    </row>
    <row r="184" spans="9:9" ht="15.75">
      <c r="I184" s="119"/>
    </row>
    <row r="185" spans="9:9" ht="15.75">
      <c r="I185" s="119"/>
    </row>
    <row r="186" spans="9:9" ht="15.75">
      <c r="I186" s="119"/>
    </row>
    <row r="187" spans="9:9" ht="15.75">
      <c r="I187" s="119"/>
    </row>
    <row r="188" spans="9:9" ht="15.75">
      <c r="I188" s="119"/>
    </row>
    <row r="189" spans="9:9" ht="15.75">
      <c r="I189" s="119"/>
    </row>
    <row r="190" spans="9:9" ht="15.75">
      <c r="I190" s="119"/>
    </row>
    <row r="191" spans="9:9" ht="15.75">
      <c r="I191" s="119"/>
    </row>
    <row r="192" spans="9:9" ht="15.75">
      <c r="I192" s="119"/>
    </row>
    <row r="193" spans="9:9" ht="15.75">
      <c r="I193" s="119"/>
    </row>
    <row r="194" spans="9:9" ht="15.75">
      <c r="I194" s="119"/>
    </row>
  </sheetData>
  <phoneticPr fontId="4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6"/>
  <sheetViews>
    <sheetView topLeftCell="A87" workbookViewId="0">
      <selection activeCell="B107" sqref="B107"/>
    </sheetView>
  </sheetViews>
  <sheetFormatPr defaultColWidth="11.07421875" defaultRowHeight="13.9"/>
  <cols>
    <col min="2" max="2" width="10.69140625" style="7"/>
    <col min="3" max="3" width="11" customWidth="1"/>
  </cols>
  <sheetData>
    <row r="1" spans="1:3" ht="15.4">
      <c r="A1" t="s">
        <v>14</v>
      </c>
      <c r="B1" s="12" t="s">
        <v>15</v>
      </c>
      <c r="C1" s="5"/>
    </row>
    <row r="2" spans="1:3" ht="15.4">
      <c r="A2" t="s">
        <v>16</v>
      </c>
      <c r="B2" s="12" t="s">
        <v>17</v>
      </c>
      <c r="C2" s="5"/>
    </row>
    <row r="3" spans="1:3" ht="15.4">
      <c r="A3" t="s">
        <v>18</v>
      </c>
      <c r="B3" s="12" t="s">
        <v>19</v>
      </c>
      <c r="C3" s="5"/>
    </row>
    <row r="4" spans="1:3" ht="15.4">
      <c r="A4" s="13"/>
      <c r="B4" s="12" t="s">
        <v>20</v>
      </c>
      <c r="C4" s="5"/>
    </row>
    <row r="5" spans="1:3" ht="15.4">
      <c r="B5" s="3"/>
      <c r="C5" s="5"/>
    </row>
    <row r="6" spans="1:3" ht="15.4">
      <c r="B6" s="3"/>
      <c r="C6" s="5"/>
    </row>
    <row r="7" spans="1:3" ht="15.4">
      <c r="A7" s="4" t="s">
        <v>5</v>
      </c>
      <c r="B7" s="1" t="s">
        <v>8</v>
      </c>
      <c r="C7" s="1" t="s">
        <v>11</v>
      </c>
    </row>
    <row r="8" spans="1:3" ht="15.4">
      <c r="A8" s="1">
        <v>1927</v>
      </c>
      <c r="B8" s="2">
        <v>3.1699999999999999E-2</v>
      </c>
      <c r="C8" s="1"/>
    </row>
    <row r="9" spans="1:3" ht="15.4">
      <c r="A9" s="1">
        <v>1928</v>
      </c>
      <c r="B9" s="2">
        <v>3.4500000000000003E-2</v>
      </c>
      <c r="C9" s="6">
        <f t="shared" ref="C9:C43" si="0">((B8*(1-(1+B9)^(-10))/B9+1/(1+B9)^10)-1)+B8</f>
        <v>8.354708589799302E-3</v>
      </c>
    </row>
    <row r="10" spans="1:3" ht="15.4">
      <c r="A10" s="1">
        <v>1929</v>
      </c>
      <c r="B10" s="2">
        <v>3.3599999999999998E-2</v>
      </c>
      <c r="C10" s="6">
        <f t="shared" si="0"/>
        <v>4.2038041563204259E-2</v>
      </c>
    </row>
    <row r="11" spans="1:3" ht="15.4">
      <c r="A11" s="1">
        <v>1930</v>
      </c>
      <c r="B11" s="2">
        <v>3.2199999999999999E-2</v>
      </c>
      <c r="C11" s="6">
        <f t="shared" si="0"/>
        <v>4.5409314348970366E-2</v>
      </c>
    </row>
    <row r="12" spans="1:3" ht="15.4">
      <c r="A12" s="1">
        <v>1931</v>
      </c>
      <c r="B12" s="2">
        <v>3.9300000000000002E-2</v>
      </c>
      <c r="C12" s="6">
        <f t="shared" si="0"/>
        <v>-2.5588559619422531E-2</v>
      </c>
    </row>
    <row r="13" spans="1:3" ht="15.4">
      <c r="A13" s="1">
        <v>1932</v>
      </c>
      <c r="B13" s="2">
        <v>3.3500000000000002E-2</v>
      </c>
      <c r="C13" s="6">
        <f t="shared" si="0"/>
        <v>8.7903069904773257E-2</v>
      </c>
    </row>
    <row r="14" spans="1:3" ht="15.4">
      <c r="A14" s="1">
        <v>1933</v>
      </c>
      <c r="B14" s="2">
        <v>3.5299999999999998E-2</v>
      </c>
      <c r="C14" s="6">
        <f t="shared" si="0"/>
        <v>1.8552720891857361E-2</v>
      </c>
    </row>
    <row r="15" spans="1:3" ht="15.4">
      <c r="A15" s="1">
        <v>1934</v>
      </c>
      <c r="B15" s="2">
        <v>3.0099999999999998E-2</v>
      </c>
      <c r="C15" s="6">
        <f t="shared" si="0"/>
        <v>7.9634426179656104E-2</v>
      </c>
    </row>
    <row r="16" spans="1:3" ht="15.4">
      <c r="A16" s="1">
        <v>1935</v>
      </c>
      <c r="B16" s="2">
        <v>2.8400000000000002E-2</v>
      </c>
      <c r="C16" s="6">
        <f t="shared" si="0"/>
        <v>4.4720477296566127E-2</v>
      </c>
    </row>
    <row r="17" spans="1:3" ht="15.4">
      <c r="A17" s="1">
        <v>1936</v>
      </c>
      <c r="B17" s="2">
        <v>2.5899999999999999E-2</v>
      </c>
      <c r="C17" s="6">
        <f t="shared" si="0"/>
        <v>5.0178754045450601E-2</v>
      </c>
    </row>
    <row r="18" spans="1:3" ht="15.4">
      <c r="A18" s="1">
        <v>1937</v>
      </c>
      <c r="B18" s="2">
        <v>2.7300000000000001E-2</v>
      </c>
      <c r="C18" s="6">
        <f t="shared" si="0"/>
        <v>1.379146059646038E-2</v>
      </c>
    </row>
    <row r="19" spans="1:3" ht="15.4">
      <c r="A19" s="1">
        <v>1938</v>
      </c>
      <c r="B19" s="2">
        <v>2.5600000000000001E-2</v>
      </c>
      <c r="C19" s="6">
        <f t="shared" si="0"/>
        <v>4.2132485322046068E-2</v>
      </c>
    </row>
    <row r="20" spans="1:3" ht="15.4">
      <c r="A20" s="1">
        <v>1939</v>
      </c>
      <c r="B20" s="2">
        <v>2.35E-2</v>
      </c>
      <c r="C20" s="6">
        <f t="shared" si="0"/>
        <v>4.4122613942060671E-2</v>
      </c>
    </row>
    <row r="21" spans="1:3" ht="15.4">
      <c r="A21" s="1">
        <v>1940</v>
      </c>
      <c r="B21" s="2">
        <v>2.01E-2</v>
      </c>
      <c r="C21" s="6">
        <f t="shared" si="0"/>
        <v>5.4024815962845509E-2</v>
      </c>
    </row>
    <row r="22" spans="1:3" ht="15.4">
      <c r="A22" s="1">
        <v>1941</v>
      </c>
      <c r="B22" s="2">
        <v>2.47E-2</v>
      </c>
      <c r="C22" s="6">
        <f t="shared" si="0"/>
        <v>-2.0221975848580105E-2</v>
      </c>
    </row>
    <row r="23" spans="1:3" ht="15.4">
      <c r="A23" s="1">
        <v>1942</v>
      </c>
      <c r="B23" s="2">
        <v>2.4899999999999999E-2</v>
      </c>
      <c r="C23" s="6">
        <f t="shared" si="0"/>
        <v>2.2948682374484164E-2</v>
      </c>
    </row>
    <row r="24" spans="1:3" ht="15.4">
      <c r="A24" s="1">
        <v>1943</v>
      </c>
      <c r="B24" s="2">
        <v>2.4899999999999999E-2</v>
      </c>
      <c r="C24" s="6">
        <f t="shared" si="0"/>
        <v>2.4899999999999999E-2</v>
      </c>
    </row>
    <row r="25" spans="1:3" ht="15.4">
      <c r="A25" s="1">
        <v>1944</v>
      </c>
      <c r="B25" s="2">
        <v>2.4799999999999999E-2</v>
      </c>
      <c r="C25" s="6">
        <f t="shared" si="0"/>
        <v>2.5776111579070303E-2</v>
      </c>
    </row>
    <row r="26" spans="1:3" ht="15.4">
      <c r="A26" s="1">
        <v>1945</v>
      </c>
      <c r="B26" s="2">
        <v>2.3300000000000001E-2</v>
      </c>
      <c r="C26" s="6">
        <f t="shared" si="0"/>
        <v>3.8044173419237229E-2</v>
      </c>
    </row>
    <row r="27" spans="1:3" ht="15.4">
      <c r="A27" s="1">
        <v>1946</v>
      </c>
      <c r="B27" s="2">
        <v>2.24E-2</v>
      </c>
      <c r="C27" s="6">
        <f t="shared" si="0"/>
        <v>3.1283745375695685E-2</v>
      </c>
    </row>
    <row r="28" spans="1:3" ht="15.4">
      <c r="A28" s="1">
        <v>1947</v>
      </c>
      <c r="B28" s="2">
        <v>2.3900000000000001E-2</v>
      </c>
      <c r="C28" s="6">
        <f t="shared" si="0"/>
        <v>9.1969680628322358E-3</v>
      </c>
    </row>
    <row r="29" spans="1:3" ht="15.4">
      <c r="A29" s="1">
        <v>1948</v>
      </c>
      <c r="B29" s="2">
        <v>2.4400000000000002E-2</v>
      </c>
      <c r="C29" s="6">
        <f t="shared" si="0"/>
        <v>1.9510369413175046E-2</v>
      </c>
    </row>
    <row r="30" spans="1:3" ht="15.4">
      <c r="A30" s="1">
        <v>1949</v>
      </c>
      <c r="B30" s="2">
        <v>2.1899999999999999E-2</v>
      </c>
      <c r="C30" s="6">
        <f t="shared" si="0"/>
        <v>4.6634851827973139E-2</v>
      </c>
    </row>
    <row r="31" spans="1:3" ht="15.4">
      <c r="A31" s="1">
        <v>1950</v>
      </c>
      <c r="B31" s="2">
        <v>2.3900000000000001E-2</v>
      </c>
      <c r="C31" s="6">
        <f t="shared" si="0"/>
        <v>4.2959574171096103E-3</v>
      </c>
    </row>
    <row r="32" spans="1:3" ht="15.4">
      <c r="A32" s="1">
        <v>1951</v>
      </c>
      <c r="B32" s="2">
        <v>2.7E-2</v>
      </c>
      <c r="C32" s="6">
        <f t="shared" si="0"/>
        <v>-2.9531392208319886E-3</v>
      </c>
    </row>
    <row r="33" spans="1:3" ht="15.4">
      <c r="A33" s="1">
        <v>1952</v>
      </c>
      <c r="B33" s="2">
        <v>2.75E-2</v>
      </c>
      <c r="C33" s="6">
        <f t="shared" si="0"/>
        <v>2.2679961918305656E-2</v>
      </c>
    </row>
    <row r="34" spans="1:3" ht="15.4">
      <c r="A34" s="1">
        <v>1953</v>
      </c>
      <c r="B34" s="2">
        <v>2.5899999999999999E-2</v>
      </c>
      <c r="C34" s="6">
        <f t="shared" si="0"/>
        <v>4.1438402589088513E-2</v>
      </c>
    </row>
    <row r="35" spans="1:3" ht="15.4">
      <c r="A35" s="1">
        <v>1954</v>
      </c>
      <c r="B35" s="2">
        <v>2.5100000000000001E-2</v>
      </c>
      <c r="C35" s="6">
        <f t="shared" si="0"/>
        <v>3.2898034558095555E-2</v>
      </c>
    </row>
    <row r="36" spans="1:3" ht="15.4">
      <c r="A36" s="1">
        <v>1955</v>
      </c>
      <c r="B36" s="2">
        <v>2.9600000000000001E-2</v>
      </c>
      <c r="C36" s="6">
        <f t="shared" si="0"/>
        <v>-1.3364391288618781E-2</v>
      </c>
    </row>
    <row r="37" spans="1:3" ht="15.4">
      <c r="A37" s="1">
        <v>1956</v>
      </c>
      <c r="B37" s="2">
        <v>3.5900000000000001E-2</v>
      </c>
      <c r="C37" s="6">
        <f t="shared" si="0"/>
        <v>-2.2557738173154165E-2</v>
      </c>
    </row>
    <row r="38" spans="1:3" ht="15.4">
      <c r="A38" s="1">
        <v>1957</v>
      </c>
      <c r="B38" s="2">
        <v>3.2099999999999997E-2</v>
      </c>
      <c r="C38" s="6">
        <f t="shared" si="0"/>
        <v>6.7970128466249904E-2</v>
      </c>
    </row>
    <row r="39" spans="1:3" ht="15.4">
      <c r="A39" s="1">
        <v>1958</v>
      </c>
      <c r="B39" s="2">
        <v>3.8600000000000002E-2</v>
      </c>
      <c r="C39" s="6">
        <f t="shared" si="0"/>
        <v>-2.0990181755274694E-2</v>
      </c>
    </row>
    <row r="40" spans="1:3" ht="15.4">
      <c r="A40" s="1">
        <v>1959</v>
      </c>
      <c r="B40" s="2">
        <v>4.6899999999999997E-2</v>
      </c>
      <c r="C40" s="6">
        <f t="shared" si="0"/>
        <v>-2.6466312591385065E-2</v>
      </c>
    </row>
    <row r="41" spans="1:3" ht="15.4">
      <c r="A41" s="1">
        <v>1960</v>
      </c>
      <c r="B41" s="2">
        <v>3.8399999999999997E-2</v>
      </c>
      <c r="C41" s="6">
        <f t="shared" si="0"/>
        <v>0.11639503690963365</v>
      </c>
    </row>
    <row r="42" spans="1:3" ht="15.4">
      <c r="A42" s="1">
        <v>1961</v>
      </c>
      <c r="B42" s="2">
        <v>4.0599999999999997E-2</v>
      </c>
      <c r="C42" s="6">
        <f t="shared" si="0"/>
        <v>2.0609208076323167E-2</v>
      </c>
    </row>
    <row r="43" spans="1:3" ht="15.4">
      <c r="A43" s="1">
        <v>1962</v>
      </c>
      <c r="B43" s="2">
        <v>3.8600000000000002E-2</v>
      </c>
      <c r="C43" s="6">
        <f t="shared" si="0"/>
        <v>5.693544054008462E-2</v>
      </c>
    </row>
    <row r="44" spans="1:3" ht="15.4">
      <c r="A44" s="1">
        <v>1963</v>
      </c>
      <c r="B44" s="2">
        <v>4.1300000000000003E-2</v>
      </c>
      <c r="C44" s="6">
        <f>((B43*(1-(1+B44)^(-10))/B44+1/(1+B44)^10)-1)+B43</f>
        <v>1.6841620739546127E-2</v>
      </c>
    </row>
    <row r="45" spans="1:3" ht="15.4">
      <c r="A45" s="1">
        <v>1964</v>
      </c>
      <c r="B45" s="2">
        <v>4.1799999999999997E-2</v>
      </c>
      <c r="C45" s="6">
        <f t="shared" ref="C45:C90" si="1">((B44*(1-(1+B45)^(-10))/B45+1/(1+B45)^10)-1)+B44</f>
        <v>3.7280648911540815E-2</v>
      </c>
    </row>
    <row r="46" spans="1:3" ht="15.4">
      <c r="A46" s="1">
        <v>1965</v>
      </c>
      <c r="B46" s="2">
        <v>4.6199999999999998E-2</v>
      </c>
      <c r="C46" s="6">
        <f t="shared" si="1"/>
        <v>7.1885509359262342E-3</v>
      </c>
    </row>
    <row r="47" spans="1:3" ht="15.4">
      <c r="A47" s="1">
        <v>1966</v>
      </c>
      <c r="B47" s="2">
        <v>4.8399999999999999E-2</v>
      </c>
      <c r="C47" s="6">
        <f t="shared" si="1"/>
        <v>2.9079409324299622E-2</v>
      </c>
    </row>
    <row r="48" spans="1:3" ht="15.4">
      <c r="A48" s="1">
        <v>1967</v>
      </c>
      <c r="B48" s="2">
        <v>5.7000000000000002E-2</v>
      </c>
      <c r="C48" s="6">
        <f t="shared" si="1"/>
        <v>-1.5806209932824666E-2</v>
      </c>
    </row>
    <row r="49" spans="1:3" ht="15.4">
      <c r="A49" s="1">
        <v>1968</v>
      </c>
      <c r="B49" s="2">
        <v>6.0299999999999999E-2</v>
      </c>
      <c r="C49" s="6">
        <f t="shared" si="1"/>
        <v>3.2746196950768365E-2</v>
      </c>
    </row>
    <row r="50" spans="1:3" ht="15.4">
      <c r="A50" s="1">
        <v>1969</v>
      </c>
      <c r="B50" s="2">
        <v>7.6499999999999999E-2</v>
      </c>
      <c r="C50" s="6">
        <f t="shared" si="1"/>
        <v>-5.0140493209926106E-2</v>
      </c>
    </row>
    <row r="51" spans="1:3" ht="15.4">
      <c r="A51" s="1">
        <v>1970</v>
      </c>
      <c r="B51" s="2">
        <v>6.3899999999999998E-2</v>
      </c>
      <c r="C51" s="6">
        <f t="shared" si="1"/>
        <v>0.16754737183412338</v>
      </c>
    </row>
    <row r="52" spans="1:3" ht="15.4">
      <c r="A52" s="1">
        <v>1971</v>
      </c>
      <c r="B52" s="2">
        <v>5.9299999999999999E-2</v>
      </c>
      <c r="C52" s="6">
        <f t="shared" si="1"/>
        <v>9.7868966197122972E-2</v>
      </c>
    </row>
    <row r="53" spans="1:3" ht="15.4">
      <c r="A53" s="1">
        <v>1972</v>
      </c>
      <c r="B53" s="2">
        <v>6.3600000000000004E-2</v>
      </c>
      <c r="C53" s="6">
        <f t="shared" si="1"/>
        <v>2.818449050444969E-2</v>
      </c>
    </row>
    <row r="54" spans="1:3" ht="15.4">
      <c r="A54" s="1">
        <v>1973</v>
      </c>
      <c r="B54" s="2">
        <v>6.7400000000000002E-2</v>
      </c>
      <c r="C54" s="6">
        <f t="shared" si="1"/>
        <v>3.6586646024150085E-2</v>
      </c>
    </row>
    <row r="55" spans="1:3" ht="15.4">
      <c r="A55" s="1">
        <v>1974</v>
      </c>
      <c r="B55" s="2">
        <v>7.4300000000000005E-2</v>
      </c>
      <c r="C55" s="6">
        <f t="shared" si="1"/>
        <v>1.9886086932378574E-2</v>
      </c>
    </row>
    <row r="56" spans="1:3" ht="15.4">
      <c r="A56" s="1">
        <v>1975</v>
      </c>
      <c r="B56" s="2">
        <v>0.08</v>
      </c>
      <c r="C56" s="6">
        <f t="shared" si="1"/>
        <v>3.6052536026033838E-2</v>
      </c>
    </row>
    <row r="57" spans="1:3" ht="15.4">
      <c r="A57" s="1">
        <v>1976</v>
      </c>
      <c r="B57" s="2">
        <v>6.8699999999999997E-2</v>
      </c>
      <c r="C57" s="6">
        <f t="shared" si="1"/>
        <v>0.1598456074290921</v>
      </c>
    </row>
    <row r="58" spans="1:3" ht="15.4">
      <c r="A58" s="1">
        <v>1977</v>
      </c>
      <c r="B58" s="2">
        <v>7.6899999999999996E-2</v>
      </c>
      <c r="C58" s="6">
        <f t="shared" si="1"/>
        <v>1.2899606071070449E-2</v>
      </c>
    </row>
    <row r="59" spans="1:3" ht="15.4">
      <c r="A59" s="1">
        <v>1978</v>
      </c>
      <c r="B59" s="2">
        <v>9.01E-2</v>
      </c>
      <c r="C59" s="6">
        <f t="shared" si="1"/>
        <v>-7.7758069075086478E-3</v>
      </c>
    </row>
    <row r="60" spans="1:3" ht="15.4">
      <c r="A60" s="1">
        <v>1979</v>
      </c>
      <c r="B60" s="2">
        <v>0.10390000000000001</v>
      </c>
      <c r="C60" s="6">
        <f t="shared" si="1"/>
        <v>6.7072031247235459E-3</v>
      </c>
    </row>
    <row r="61" spans="1:3" ht="15.4">
      <c r="A61" s="1">
        <v>1980</v>
      </c>
      <c r="B61" s="2">
        <v>0.12839999999999999</v>
      </c>
      <c r="C61" s="6">
        <f t="shared" si="1"/>
        <v>-2.989744251999403E-2</v>
      </c>
    </row>
    <row r="62" spans="1:3" ht="15.4">
      <c r="A62" s="1">
        <v>1981</v>
      </c>
      <c r="B62" s="2">
        <v>0.13719999999999999</v>
      </c>
      <c r="C62" s="6">
        <f t="shared" si="1"/>
        <v>8.1992153358923542E-2</v>
      </c>
    </row>
    <row r="63" spans="1:3" ht="15.4">
      <c r="A63" s="1">
        <v>1982</v>
      </c>
      <c r="B63" s="2">
        <v>0.10539999999999999</v>
      </c>
      <c r="C63" s="6">
        <f t="shared" si="1"/>
        <v>0.32814549486295586</v>
      </c>
    </row>
    <row r="64" spans="1:3" ht="15.4">
      <c r="A64" s="1">
        <v>1983</v>
      </c>
      <c r="B64" s="2">
        <v>0.1183</v>
      </c>
      <c r="C64" s="6">
        <f t="shared" si="1"/>
        <v>3.2002094451429264E-2</v>
      </c>
    </row>
    <row r="65" spans="1:3" ht="15.4">
      <c r="A65" s="1">
        <v>1984</v>
      </c>
      <c r="B65" s="2">
        <v>0.115</v>
      </c>
      <c r="C65" s="6">
        <f t="shared" si="1"/>
        <v>0.13733364344102345</v>
      </c>
    </row>
    <row r="66" spans="1:3" ht="15.4">
      <c r="A66" s="1">
        <v>1985</v>
      </c>
      <c r="B66" s="2">
        <v>9.2600000000000002E-2</v>
      </c>
      <c r="C66" s="6">
        <f t="shared" si="1"/>
        <v>0.2571248821260641</v>
      </c>
    </row>
    <row r="67" spans="1:3" ht="15.4">
      <c r="A67" s="1">
        <v>1986</v>
      </c>
      <c r="B67" s="2">
        <v>7.1099999999999997E-2</v>
      </c>
      <c r="C67" s="6">
        <f t="shared" si="1"/>
        <v>0.24284215141767618</v>
      </c>
    </row>
    <row r="68" spans="1:3" ht="15.4">
      <c r="A68" s="1">
        <v>1987</v>
      </c>
      <c r="B68" s="2">
        <v>8.9899999999999994E-2</v>
      </c>
      <c r="C68" s="6">
        <f t="shared" si="1"/>
        <v>-4.9605089379262279E-2</v>
      </c>
    </row>
    <row r="69" spans="1:3" ht="15.4">
      <c r="A69" s="1">
        <v>1988</v>
      </c>
      <c r="B69" s="2">
        <v>9.11E-2</v>
      </c>
      <c r="C69" s="6">
        <f t="shared" si="1"/>
        <v>8.2235958434841674E-2</v>
      </c>
    </row>
    <row r="70" spans="1:3" ht="15.4">
      <c r="A70" s="1">
        <v>1989</v>
      </c>
      <c r="B70" s="2">
        <v>7.8399999999999997E-2</v>
      </c>
      <c r="C70" s="6">
        <f t="shared" si="1"/>
        <v>0.17693647159446219</v>
      </c>
    </row>
    <row r="71" spans="1:3" ht="15.4">
      <c r="A71" s="1">
        <v>1990</v>
      </c>
      <c r="B71" s="2">
        <v>8.0799999999999997E-2</v>
      </c>
      <c r="C71" s="6">
        <f t="shared" si="1"/>
        <v>6.2353753335533363E-2</v>
      </c>
    </row>
    <row r="72" spans="1:3" ht="15.4">
      <c r="A72" s="1">
        <v>1991</v>
      </c>
      <c r="B72" s="2">
        <v>7.0900000000000005E-2</v>
      </c>
      <c r="C72" s="6">
        <f t="shared" si="1"/>
        <v>0.15004510019517303</v>
      </c>
    </row>
    <row r="73" spans="1:3" ht="15.4">
      <c r="A73" s="1">
        <v>1992</v>
      </c>
      <c r="B73" s="2">
        <v>6.7699999999999996E-2</v>
      </c>
      <c r="C73" s="6">
        <f t="shared" si="1"/>
        <v>9.3616373162079422E-2</v>
      </c>
    </row>
    <row r="74" spans="1:3" ht="15.4">
      <c r="A74" s="1">
        <v>1993</v>
      </c>
      <c r="B74" s="2">
        <v>5.7700000000000001E-2</v>
      </c>
      <c r="C74" s="6">
        <f t="shared" si="1"/>
        <v>0.14210957589263107</v>
      </c>
    </row>
    <row r="75" spans="1:3" ht="15.4">
      <c r="A75" s="1">
        <v>1994</v>
      </c>
      <c r="B75" s="2">
        <v>7.8100000000000003E-2</v>
      </c>
      <c r="C75" s="6">
        <f t="shared" si="1"/>
        <v>-8.0366555509985921E-2</v>
      </c>
    </row>
    <row r="76" spans="1:3" ht="15.4">
      <c r="A76" s="1">
        <v>1995</v>
      </c>
      <c r="B76" s="2">
        <v>5.7099999999999998E-2</v>
      </c>
      <c r="C76" s="6">
        <f t="shared" si="1"/>
        <v>0.23480780112538907</v>
      </c>
    </row>
    <row r="77" spans="1:3" ht="15.4">
      <c r="A77" s="1">
        <v>1996</v>
      </c>
      <c r="B77" s="2">
        <v>6.3E-2</v>
      </c>
      <c r="C77" s="6">
        <f t="shared" si="1"/>
        <v>1.428607793401844E-2</v>
      </c>
    </row>
    <row r="78" spans="1:3" ht="15.4">
      <c r="A78" s="1">
        <v>1997</v>
      </c>
      <c r="B78" s="2">
        <v>5.8099999999999999E-2</v>
      </c>
      <c r="C78" s="6">
        <f t="shared" si="1"/>
        <v>9.939130272977531E-2</v>
      </c>
    </row>
    <row r="79" spans="1:3" ht="15.4">
      <c r="A79" s="1">
        <v>1998</v>
      </c>
      <c r="B79" s="2">
        <v>4.65E-2</v>
      </c>
      <c r="C79" s="6">
        <f t="shared" si="1"/>
        <v>0.14921431922606215</v>
      </c>
    </row>
    <row r="80" spans="1:3" ht="15.4">
      <c r="A80" s="1">
        <v>1999</v>
      </c>
      <c r="B80" s="2">
        <v>6.4399999999999999E-2</v>
      </c>
      <c r="C80" s="6">
        <f t="shared" si="1"/>
        <v>-8.2542147962685761E-2</v>
      </c>
    </row>
    <row r="81" spans="1:3" ht="15.4">
      <c r="A81" s="1">
        <v>2000</v>
      </c>
      <c r="B81" s="2">
        <v>5.11E-2</v>
      </c>
      <c r="C81" s="6">
        <f t="shared" si="1"/>
        <v>0.16655267125397488</v>
      </c>
    </row>
    <row r="82" spans="1:3" ht="15.4">
      <c r="A82" s="1">
        <v>2001</v>
      </c>
      <c r="B82" s="2">
        <v>5.0500000000000003E-2</v>
      </c>
      <c r="C82" s="6">
        <f t="shared" si="1"/>
        <v>5.5721811892492555E-2</v>
      </c>
    </row>
    <row r="83" spans="1:3" ht="15.4">
      <c r="A83" s="1">
        <v>2002</v>
      </c>
      <c r="B83" s="2">
        <v>3.8199999999999998E-2</v>
      </c>
      <c r="C83" s="6">
        <f t="shared" si="1"/>
        <v>0.15116400378109285</v>
      </c>
    </row>
    <row r="84" spans="1:3" ht="15.4">
      <c r="A84" s="1">
        <v>2003</v>
      </c>
      <c r="B84" s="2">
        <v>4.2500000000000003E-2</v>
      </c>
      <c r="C84" s="6">
        <f t="shared" si="1"/>
        <v>3.7531858817758529E-3</v>
      </c>
    </row>
    <row r="85" spans="1:3" ht="15.4">
      <c r="A85" s="1">
        <v>2004</v>
      </c>
      <c r="B85" s="2">
        <v>4.2200000000000001E-2</v>
      </c>
      <c r="C85" s="6">
        <f t="shared" si="1"/>
        <v>4.490683702274547E-2</v>
      </c>
    </row>
    <row r="86" spans="1:3" ht="15.4">
      <c r="A86" s="1">
        <v>2005</v>
      </c>
      <c r="B86" s="2">
        <v>4.3900000000000002E-2</v>
      </c>
      <c r="C86" s="6">
        <f t="shared" si="1"/>
        <v>2.8675329597779506E-2</v>
      </c>
    </row>
    <row r="87" spans="1:3" ht="15.4">
      <c r="A87" s="1">
        <v>2006</v>
      </c>
      <c r="B87" s="2">
        <v>4.7E-2</v>
      </c>
      <c r="C87" s="6">
        <f t="shared" si="1"/>
        <v>1.9610012417568386E-2</v>
      </c>
    </row>
    <row r="88" spans="1:3" ht="15.4">
      <c r="A88" s="1">
        <v>2007</v>
      </c>
      <c r="B88" s="17">
        <v>4.02E-2</v>
      </c>
      <c r="C88" s="6">
        <f t="shared" si="1"/>
        <v>0.10209921930012807</v>
      </c>
    </row>
    <row r="89" spans="1:3" ht="15.4">
      <c r="A89" s="1">
        <v>2008</v>
      </c>
      <c r="B89" s="17">
        <v>2.2100000000000002E-2</v>
      </c>
      <c r="C89" s="6">
        <f t="shared" si="1"/>
        <v>0.20101279926977011</v>
      </c>
    </row>
    <row r="90" spans="1:3" ht="15.4">
      <c r="A90" s="1">
        <v>2009</v>
      </c>
      <c r="B90" s="17">
        <f>'S&amp;P 500 &amp; Raw Data'!E85</f>
        <v>3.8399999999999997E-2</v>
      </c>
      <c r="C90" s="6">
        <f t="shared" si="1"/>
        <v>-0.11116695313259162</v>
      </c>
    </row>
    <row r="91" spans="1:3" ht="15.4">
      <c r="A91" s="1">
        <v>2010</v>
      </c>
      <c r="B91" s="17">
        <f>'S&amp;P 500 &amp; Raw Data'!E86</f>
        <v>3.2899999999999999E-2</v>
      </c>
      <c r="C91" s="6">
        <f t="shared" ref="C91:C98" si="2">((B90*(1-(1+B91)^(-10))/B91+1/(1+B91)^10)-1)+B90</f>
        <v>8.4629338803557719E-2</v>
      </c>
    </row>
    <row r="92" spans="1:3" ht="15.4">
      <c r="A92" s="1">
        <v>2011</v>
      </c>
      <c r="B92" s="17">
        <v>1.8800000000000001E-2</v>
      </c>
      <c r="C92" s="6">
        <f t="shared" si="2"/>
        <v>0.16035334999461354</v>
      </c>
    </row>
    <row r="93" spans="1:3" ht="15.4">
      <c r="A93" s="1">
        <v>2012</v>
      </c>
      <c r="B93" s="17">
        <v>1.7600000000000001E-2</v>
      </c>
      <c r="C93" s="18">
        <f t="shared" si="2"/>
        <v>2.971571978018946E-2</v>
      </c>
    </row>
    <row r="94" spans="1:3" ht="15.4">
      <c r="A94" s="1">
        <v>2013</v>
      </c>
      <c r="B94" s="17">
        <v>3.0360000000000002E-2</v>
      </c>
      <c r="C94" s="18">
        <f t="shared" si="2"/>
        <v>-9.104568794347262E-2</v>
      </c>
    </row>
    <row r="95" spans="1:3" ht="15.4">
      <c r="A95" s="1">
        <v>2014</v>
      </c>
      <c r="B95" s="20">
        <v>2.1700000000000001E-2</v>
      </c>
      <c r="C95" s="18">
        <f t="shared" si="2"/>
        <v>0.10746180452004755</v>
      </c>
    </row>
    <row r="96" spans="1:3" ht="15.4">
      <c r="A96" s="1">
        <v>2015</v>
      </c>
      <c r="B96" s="17">
        <v>2.2700000000000001E-2</v>
      </c>
      <c r="C96" s="18">
        <f t="shared" si="2"/>
        <v>1.2842996709792224E-2</v>
      </c>
    </row>
    <row r="97" spans="1:3" ht="15.4">
      <c r="A97" s="1">
        <v>2016</v>
      </c>
      <c r="B97" s="17">
        <v>2.4500000000000001E-2</v>
      </c>
      <c r="C97" s="18">
        <f t="shared" si="2"/>
        <v>6.9055046987477921E-3</v>
      </c>
    </row>
    <row r="98" spans="1:3" ht="15.4">
      <c r="A98" s="1">
        <v>2017</v>
      </c>
      <c r="B98" s="17">
        <v>2.41E-2</v>
      </c>
      <c r="C98" s="18">
        <f t="shared" si="2"/>
        <v>2.8017162707789457E-2</v>
      </c>
    </row>
    <row r="99" spans="1:3" ht="15.4">
      <c r="A99" s="1">
        <v>2018</v>
      </c>
      <c r="B99" s="17">
        <v>2.69E-2</v>
      </c>
      <c r="C99" s="18">
        <f t="shared" ref="C99:C106" si="3">((B98*(1-(1+B99)^(-10))/B99+1/(1+B99)^10)-1)+B98</f>
        <v>-1.6692385713402633E-4</v>
      </c>
    </row>
    <row r="100" spans="1:3" ht="15.4">
      <c r="A100" s="1">
        <v>2019</v>
      </c>
      <c r="B100" s="56">
        <v>1.9199999999999998E-2</v>
      </c>
      <c r="C100" s="18">
        <f t="shared" si="3"/>
        <v>9.6356307415483927E-2</v>
      </c>
    </row>
    <row r="101" spans="1:3" ht="15.4">
      <c r="A101" s="31">
        <v>2020</v>
      </c>
      <c r="B101" s="10">
        <v>9.2999999999999992E-3</v>
      </c>
      <c r="C101" s="18">
        <f t="shared" si="3"/>
        <v>0.1133189764661412</v>
      </c>
    </row>
    <row r="102" spans="1:3" ht="15.4">
      <c r="A102" s="31">
        <v>2021</v>
      </c>
      <c r="B102" s="10">
        <v>1.5100000000000001E-2</v>
      </c>
      <c r="C102" s="18">
        <f t="shared" si="3"/>
        <v>-4.416034448604475E-2</v>
      </c>
    </row>
    <row r="103" spans="1:3" ht="15.4">
      <c r="A103" s="31">
        <v>2022</v>
      </c>
      <c r="B103" s="10">
        <v>3.8800000000000001E-2</v>
      </c>
      <c r="C103" s="18">
        <f t="shared" si="3"/>
        <v>-0.1782817153825067</v>
      </c>
    </row>
    <row r="104" spans="1:3" ht="15.4">
      <c r="A104" s="31">
        <v>2023</v>
      </c>
      <c r="B104" s="10">
        <v>3.8800000000000001E-2</v>
      </c>
      <c r="C104" s="18">
        <f t="shared" si="3"/>
        <v>3.8800000000000001E-2</v>
      </c>
    </row>
    <row r="105" spans="1:3" ht="15.4">
      <c r="A105" s="31">
        <v>2024</v>
      </c>
      <c r="B105" s="10">
        <v>4.58E-2</v>
      </c>
      <c r="C105" s="18">
        <f t="shared" si="3"/>
        <v>-1.6371801436629807E-2</v>
      </c>
    </row>
    <row r="106" spans="1:3" ht="15.4">
      <c r="A106" s="31">
        <v>2025</v>
      </c>
      <c r="B106" s="10">
        <v>4.1799999999999997E-2</v>
      </c>
      <c r="C106" s="18">
        <f t="shared" si="3"/>
        <v>7.7954808707673962E-2</v>
      </c>
    </row>
  </sheetData>
  <phoneticPr fontId="10"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11"/>
  <sheetViews>
    <sheetView workbookViewId="0">
      <selection activeCell="A12" sqref="A12:A13"/>
    </sheetView>
  </sheetViews>
  <sheetFormatPr defaultColWidth="11.07421875" defaultRowHeight="13.9"/>
  <cols>
    <col min="1" max="2" width="17.69140625" customWidth="1"/>
    <col min="3" max="3" width="44.69140625" customWidth="1"/>
  </cols>
  <sheetData>
    <row r="1" spans="1:7">
      <c r="A1" t="s">
        <v>36</v>
      </c>
    </row>
    <row r="2" spans="1:7">
      <c r="A2" t="s">
        <v>37</v>
      </c>
    </row>
    <row r="3" spans="1:7">
      <c r="A3" t="s">
        <v>38</v>
      </c>
    </row>
    <row r="4" spans="1:7">
      <c r="A4" t="s">
        <v>86</v>
      </c>
    </row>
    <row r="5" spans="1:7">
      <c r="A5" t="s">
        <v>40</v>
      </c>
    </row>
    <row r="6" spans="1:7">
      <c r="A6" t="s">
        <v>41</v>
      </c>
    </row>
    <row r="8" spans="1:7">
      <c r="A8" t="s">
        <v>87</v>
      </c>
      <c r="B8" t="s">
        <v>88</v>
      </c>
    </row>
    <row r="9" spans="1:7" s="11" customFormat="1">
      <c r="A9"/>
      <c r="B9"/>
      <c r="D9"/>
      <c r="E9"/>
      <c r="F9"/>
      <c r="G9"/>
    </row>
    <row r="10" spans="1:7" s="11" customFormat="1">
      <c r="A10" t="s">
        <v>44</v>
      </c>
      <c r="B10" t="s">
        <v>98</v>
      </c>
      <c r="D10"/>
      <c r="E10"/>
      <c r="F10"/>
      <c r="G10"/>
    </row>
    <row r="11" spans="1:7" s="11" customFormat="1">
      <c r="A11" t="s">
        <v>45</v>
      </c>
      <c r="B11" t="s">
        <v>13</v>
      </c>
      <c r="D11"/>
      <c r="E11"/>
      <c r="F11"/>
      <c r="G11"/>
    </row>
    <row r="12" spans="1:7" s="11" customFormat="1">
      <c r="A12" s="120">
        <v>1934</v>
      </c>
      <c r="B12" s="14">
        <v>0.27833333333333332</v>
      </c>
      <c r="C12" s="44">
        <f>B12/100</f>
        <v>2.7833333333333334E-3</v>
      </c>
      <c r="D12"/>
      <c r="E12"/>
      <c r="F12"/>
      <c r="G12"/>
    </row>
    <row r="13" spans="1:7" s="11" customFormat="1">
      <c r="A13" s="120">
        <f>A12+1</f>
        <v>1935</v>
      </c>
      <c r="B13" s="14">
        <v>0.16750000000000001</v>
      </c>
      <c r="C13" s="44">
        <f t="shared" ref="C13:C76" si="0">B13/100</f>
        <v>1.6750000000000001E-3</v>
      </c>
      <c r="D13"/>
      <c r="E13"/>
      <c r="F13"/>
      <c r="G13"/>
    </row>
    <row r="14" spans="1:7" s="11" customFormat="1">
      <c r="A14" s="120">
        <f t="shared" ref="A14:A77" si="1">A13+1</f>
        <v>1936</v>
      </c>
      <c r="B14" s="14">
        <v>0.17249999999999999</v>
      </c>
      <c r="C14" s="44">
        <f t="shared" si="0"/>
        <v>1.725E-3</v>
      </c>
      <c r="D14"/>
      <c r="E14"/>
      <c r="F14"/>
      <c r="G14"/>
    </row>
    <row r="15" spans="1:7" s="11" customFormat="1">
      <c r="A15" s="120">
        <f t="shared" si="1"/>
        <v>1937</v>
      </c>
      <c r="B15" s="14">
        <v>0.27583333333333332</v>
      </c>
      <c r="C15" s="44">
        <f t="shared" si="0"/>
        <v>2.7583333333333331E-3</v>
      </c>
      <c r="D15"/>
      <c r="E15"/>
      <c r="F15"/>
      <c r="G15"/>
    </row>
    <row r="16" spans="1:7" s="11" customFormat="1">
      <c r="A16" s="120">
        <f t="shared" si="1"/>
        <v>1938</v>
      </c>
      <c r="B16" s="14">
        <v>6.5000000000000002E-2</v>
      </c>
      <c r="C16" s="44">
        <f t="shared" si="0"/>
        <v>6.4999999999999997E-4</v>
      </c>
      <c r="D16"/>
      <c r="E16"/>
      <c r="F16"/>
      <c r="G16"/>
    </row>
    <row r="17" spans="1:7" s="11" customFormat="1">
      <c r="A17" s="120">
        <f t="shared" si="1"/>
        <v>1939</v>
      </c>
      <c r="B17" s="14">
        <v>4.583333333333333E-2</v>
      </c>
      <c r="C17" s="44">
        <f t="shared" si="0"/>
        <v>4.5833333333333332E-4</v>
      </c>
      <c r="D17"/>
      <c r="E17"/>
      <c r="F17"/>
      <c r="G17"/>
    </row>
    <row r="18" spans="1:7" s="11" customFormat="1">
      <c r="A18" s="120">
        <f t="shared" si="1"/>
        <v>1940</v>
      </c>
      <c r="B18" s="14">
        <v>3.5833333333333335E-2</v>
      </c>
      <c r="C18" s="44">
        <f t="shared" si="0"/>
        <v>3.5833333333333333E-4</v>
      </c>
      <c r="D18"/>
      <c r="E18"/>
      <c r="F18"/>
      <c r="G18"/>
    </row>
    <row r="19" spans="1:7" s="11" customFormat="1">
      <c r="A19" s="120">
        <f t="shared" si="1"/>
        <v>1941</v>
      </c>
      <c r="B19" s="14">
        <v>0.12916666666666668</v>
      </c>
      <c r="C19" s="44">
        <f t="shared" si="0"/>
        <v>1.2916666666666669E-3</v>
      </c>
      <c r="D19"/>
      <c r="E19"/>
      <c r="F19"/>
      <c r="G19"/>
    </row>
    <row r="20" spans="1:7" s="11" customFormat="1">
      <c r="A20" s="120">
        <f t="shared" si="1"/>
        <v>1942</v>
      </c>
      <c r="B20" s="14">
        <v>0.34250000000000003</v>
      </c>
      <c r="C20" s="44">
        <f t="shared" si="0"/>
        <v>3.4250000000000001E-3</v>
      </c>
      <c r="D20"/>
      <c r="E20"/>
      <c r="F20"/>
      <c r="G20"/>
    </row>
    <row r="21" spans="1:7" s="11" customFormat="1">
      <c r="A21" s="120">
        <f t="shared" si="1"/>
        <v>1943</v>
      </c>
      <c r="B21" s="14">
        <v>0.38</v>
      </c>
      <c r="C21" s="44">
        <f t="shared" si="0"/>
        <v>3.8E-3</v>
      </c>
      <c r="D21"/>
      <c r="E21"/>
      <c r="F21"/>
      <c r="G21"/>
    </row>
    <row r="22" spans="1:7" s="11" customFormat="1">
      <c r="A22" s="120">
        <f t="shared" si="1"/>
        <v>1944</v>
      </c>
      <c r="B22" s="14">
        <v>0.38</v>
      </c>
      <c r="C22" s="44">
        <f t="shared" si="0"/>
        <v>3.8E-3</v>
      </c>
      <c r="D22"/>
      <c r="E22"/>
      <c r="F22"/>
      <c r="G22"/>
    </row>
    <row r="23" spans="1:7" s="11" customFormat="1">
      <c r="A23" s="120">
        <f t="shared" si="1"/>
        <v>1945</v>
      </c>
      <c r="B23" s="14">
        <v>0.38</v>
      </c>
      <c r="C23" s="44">
        <f t="shared" si="0"/>
        <v>3.8E-3</v>
      </c>
      <c r="D23"/>
      <c r="E23"/>
      <c r="F23"/>
      <c r="G23"/>
    </row>
    <row r="24" spans="1:7" s="11" customFormat="1">
      <c r="A24" s="120">
        <f t="shared" si="1"/>
        <v>1946</v>
      </c>
      <c r="B24" s="14">
        <v>0.38</v>
      </c>
      <c r="C24" s="44">
        <f t="shared" si="0"/>
        <v>3.8E-3</v>
      </c>
      <c r="D24"/>
      <c r="E24"/>
      <c r="F24"/>
      <c r="G24"/>
    </row>
    <row r="25" spans="1:7" s="11" customFormat="1">
      <c r="A25" s="120">
        <f t="shared" si="1"/>
        <v>1947</v>
      </c>
      <c r="B25" s="14">
        <v>0.60083333333333333</v>
      </c>
      <c r="C25" s="44">
        <f t="shared" si="0"/>
        <v>6.0083333333333334E-3</v>
      </c>
      <c r="D25"/>
      <c r="E25"/>
      <c r="F25"/>
      <c r="G25"/>
    </row>
    <row r="26" spans="1:7" s="11" customFormat="1">
      <c r="A26" s="120">
        <f t="shared" si="1"/>
        <v>1948</v>
      </c>
      <c r="B26" s="14">
        <v>1.0449999999999999</v>
      </c>
      <c r="C26" s="44">
        <f t="shared" si="0"/>
        <v>1.0449999999999999E-2</v>
      </c>
      <c r="D26"/>
      <c r="E26"/>
      <c r="F26"/>
      <c r="G26"/>
    </row>
    <row r="27" spans="1:7" s="11" customFormat="1">
      <c r="A27" s="120">
        <f t="shared" si="1"/>
        <v>1949</v>
      </c>
      <c r="B27" s="14">
        <v>1.115</v>
      </c>
      <c r="C27" s="44">
        <f t="shared" si="0"/>
        <v>1.115E-2</v>
      </c>
      <c r="D27"/>
      <c r="E27"/>
      <c r="F27"/>
      <c r="G27"/>
    </row>
    <row r="28" spans="1:7" s="11" customFormat="1">
      <c r="A28" s="120">
        <f t="shared" si="1"/>
        <v>1950</v>
      </c>
      <c r="B28" s="14">
        <v>1.2033333333333334</v>
      </c>
      <c r="C28" s="44">
        <f t="shared" si="0"/>
        <v>1.2033333333333333E-2</v>
      </c>
      <c r="D28"/>
      <c r="E28"/>
      <c r="F28"/>
      <c r="G28"/>
    </row>
    <row r="29" spans="1:7" s="11" customFormat="1">
      <c r="A29" s="120">
        <f t="shared" si="1"/>
        <v>1951</v>
      </c>
      <c r="B29" s="14">
        <v>1.5175000000000001</v>
      </c>
      <c r="C29" s="44">
        <f t="shared" si="0"/>
        <v>1.5175000000000001E-2</v>
      </c>
      <c r="D29"/>
      <c r="E29"/>
      <c r="F29"/>
      <c r="G29"/>
    </row>
    <row r="30" spans="1:7" s="11" customFormat="1">
      <c r="A30" s="120">
        <f t="shared" si="1"/>
        <v>1952</v>
      </c>
      <c r="B30" s="14">
        <v>1.7224999999999999</v>
      </c>
      <c r="C30" s="44">
        <f t="shared" si="0"/>
        <v>1.7225000000000001E-2</v>
      </c>
      <c r="D30"/>
      <c r="E30"/>
      <c r="F30"/>
      <c r="G30"/>
    </row>
    <row r="31" spans="1:7" s="11" customFormat="1">
      <c r="A31" s="120">
        <f t="shared" si="1"/>
        <v>1953</v>
      </c>
      <c r="B31" s="14">
        <v>1.8908333333333334</v>
      </c>
      <c r="C31" s="44">
        <f t="shared" si="0"/>
        <v>1.8908333333333333E-2</v>
      </c>
      <c r="D31"/>
      <c r="E31"/>
      <c r="F31"/>
      <c r="G31"/>
    </row>
    <row r="32" spans="1:7" s="11" customFormat="1">
      <c r="A32" s="120">
        <f t="shared" si="1"/>
        <v>1954</v>
      </c>
      <c r="B32" s="14">
        <v>0.93752000000000002</v>
      </c>
      <c r="C32" s="44">
        <f t="shared" si="0"/>
        <v>9.3752000000000002E-3</v>
      </c>
      <c r="D32"/>
      <c r="E32"/>
      <c r="F32"/>
      <c r="G32"/>
    </row>
    <row r="33" spans="1:7" s="11" customFormat="1">
      <c r="A33" s="120">
        <f t="shared" si="1"/>
        <v>1955</v>
      </c>
      <c r="B33" s="14">
        <v>1.7243426294820716</v>
      </c>
      <c r="C33" s="44">
        <f t="shared" si="0"/>
        <v>1.7243426294820716E-2</v>
      </c>
      <c r="D33"/>
      <c r="E33"/>
      <c r="F33"/>
      <c r="G33"/>
    </row>
    <row r="34" spans="1:7" s="11" customFormat="1">
      <c r="A34" s="120">
        <f t="shared" si="1"/>
        <v>1956</v>
      </c>
      <c r="B34" s="14">
        <v>2.6213888888888888</v>
      </c>
      <c r="C34" s="44">
        <f t="shared" si="0"/>
        <v>2.6213888888888887E-2</v>
      </c>
      <c r="D34"/>
      <c r="E34"/>
      <c r="F34"/>
      <c r="G34"/>
    </row>
    <row r="35" spans="1:7" s="11" customFormat="1">
      <c r="A35" s="120">
        <f t="shared" si="1"/>
        <v>1957</v>
      </c>
      <c r="B35" s="14">
        <v>3.2245669291338581</v>
      </c>
      <c r="C35" s="44">
        <f t="shared" si="0"/>
        <v>3.2245669291338583E-2</v>
      </c>
      <c r="D35"/>
      <c r="E35"/>
      <c r="F35"/>
      <c r="G35"/>
    </row>
    <row r="36" spans="1:7" s="11" customFormat="1">
      <c r="A36" s="120">
        <f t="shared" si="1"/>
        <v>1958</v>
      </c>
      <c r="B36" s="14">
        <v>1.7665461847389559</v>
      </c>
      <c r="C36" s="44">
        <f t="shared" si="0"/>
        <v>1.7665461847389558E-2</v>
      </c>
      <c r="D36"/>
      <c r="E36"/>
      <c r="F36"/>
      <c r="G36"/>
    </row>
    <row r="37" spans="1:7" s="11" customFormat="1">
      <c r="A37" s="120">
        <f t="shared" si="1"/>
        <v>1959</v>
      </c>
      <c r="B37" s="14">
        <v>3.3860159362549802</v>
      </c>
      <c r="C37" s="44">
        <f t="shared" si="0"/>
        <v>3.3860159362549803E-2</v>
      </c>
      <c r="D37"/>
      <c r="E37"/>
      <c r="F37"/>
      <c r="G37"/>
    </row>
    <row r="38" spans="1:7" s="11" customFormat="1">
      <c r="A38" s="120">
        <f t="shared" si="1"/>
        <v>1960</v>
      </c>
      <c r="B38" s="14">
        <v>2.8729718875502006</v>
      </c>
      <c r="C38" s="44">
        <f t="shared" si="0"/>
        <v>2.8729718875502006E-2</v>
      </c>
      <c r="D38"/>
      <c r="E38"/>
      <c r="F38"/>
      <c r="G38"/>
    </row>
    <row r="39" spans="1:7" s="11" customFormat="1">
      <c r="A39" s="120">
        <f t="shared" si="1"/>
        <v>1961</v>
      </c>
      <c r="B39" s="14">
        <v>2.3524899598393576</v>
      </c>
      <c r="C39" s="44">
        <f t="shared" si="0"/>
        <v>2.3524899598393576E-2</v>
      </c>
      <c r="D39"/>
      <c r="E39"/>
      <c r="F39"/>
      <c r="G39"/>
    </row>
    <row r="40" spans="1:7" s="11" customFormat="1">
      <c r="A40" s="120">
        <f t="shared" si="1"/>
        <v>1962</v>
      </c>
      <c r="B40" s="14">
        <v>2.7723694779116466</v>
      </c>
      <c r="C40" s="44">
        <f t="shared" si="0"/>
        <v>2.7723694779116466E-2</v>
      </c>
      <c r="D40"/>
      <c r="E40"/>
      <c r="F40"/>
      <c r="G40"/>
    </row>
    <row r="41" spans="1:7" s="11" customFormat="1">
      <c r="A41" s="120">
        <f t="shared" si="1"/>
        <v>1963</v>
      </c>
      <c r="B41" s="14">
        <v>3.1560240963855422</v>
      </c>
      <c r="C41" s="44">
        <f t="shared" si="0"/>
        <v>3.1560240963855422E-2</v>
      </c>
      <c r="D41"/>
      <c r="E41"/>
      <c r="F41"/>
      <c r="G41"/>
    </row>
    <row r="42" spans="1:7" s="11" customFormat="1">
      <c r="A42" s="120">
        <f t="shared" si="1"/>
        <v>1964</v>
      </c>
      <c r="B42" s="14">
        <v>3.5457370517928286</v>
      </c>
      <c r="C42" s="44">
        <f t="shared" si="0"/>
        <v>3.5457370517928286E-2</v>
      </c>
      <c r="D42"/>
      <c r="E42"/>
      <c r="F42"/>
      <c r="G42"/>
    </row>
    <row r="43" spans="1:7" s="11" customFormat="1">
      <c r="A43" s="120">
        <f t="shared" si="1"/>
        <v>1965</v>
      </c>
      <c r="B43" s="14">
        <v>3.9490763052208835</v>
      </c>
      <c r="C43" s="44">
        <f t="shared" si="0"/>
        <v>3.9490763052208833E-2</v>
      </c>
      <c r="D43"/>
      <c r="E43"/>
      <c r="F43"/>
      <c r="G43"/>
    </row>
    <row r="44" spans="1:7" s="11" customFormat="1">
      <c r="A44" s="120">
        <f t="shared" si="1"/>
        <v>1966</v>
      </c>
      <c r="B44" s="14">
        <v>4.8557199999999998</v>
      </c>
      <c r="C44" s="44">
        <f t="shared" si="0"/>
        <v>4.8557199999999995E-2</v>
      </c>
      <c r="D44"/>
      <c r="E44"/>
      <c r="F44"/>
      <c r="G44"/>
    </row>
    <row r="45" spans="1:7" s="11" customFormat="1">
      <c r="A45" s="120">
        <f t="shared" si="1"/>
        <v>1967</v>
      </c>
      <c r="B45" s="14">
        <v>4.293453815261044</v>
      </c>
      <c r="C45" s="44">
        <f t="shared" si="0"/>
        <v>4.2934538152610439E-2</v>
      </c>
      <c r="D45"/>
      <c r="E45"/>
      <c r="F45"/>
      <c r="G45"/>
    </row>
    <row r="46" spans="1:7" s="11" customFormat="1">
      <c r="A46" s="120">
        <f t="shared" si="1"/>
        <v>1968</v>
      </c>
      <c r="B46" s="14">
        <v>5.3376000000000001</v>
      </c>
      <c r="C46" s="44">
        <f t="shared" si="0"/>
        <v>5.3376E-2</v>
      </c>
      <c r="D46"/>
      <c r="E46"/>
      <c r="F46"/>
      <c r="G46"/>
    </row>
    <row r="47" spans="1:7" s="11" customFormat="1">
      <c r="A47" s="120">
        <f t="shared" si="1"/>
        <v>1969</v>
      </c>
      <c r="B47" s="14">
        <v>6.6684677419354843</v>
      </c>
      <c r="C47" s="44">
        <f t="shared" si="0"/>
        <v>6.668467741935484E-2</v>
      </c>
      <c r="D47"/>
      <c r="E47"/>
      <c r="F47"/>
      <c r="G47"/>
    </row>
    <row r="48" spans="1:7" s="11" customFormat="1">
      <c r="A48" s="120">
        <f t="shared" si="1"/>
        <v>1970</v>
      </c>
      <c r="B48" s="14">
        <v>6.391</v>
      </c>
      <c r="C48" s="44">
        <f t="shared" si="0"/>
        <v>6.3909999999999995E-2</v>
      </c>
      <c r="D48"/>
      <c r="E48"/>
      <c r="F48"/>
      <c r="G48"/>
    </row>
    <row r="49" spans="1:7" s="11" customFormat="1">
      <c r="A49" s="120">
        <f t="shared" si="1"/>
        <v>1971</v>
      </c>
      <c r="B49" s="14">
        <v>4.3342570281124502</v>
      </c>
      <c r="C49" s="44">
        <f t="shared" si="0"/>
        <v>4.3342570281124503E-2</v>
      </c>
      <c r="D49"/>
      <c r="E49"/>
      <c r="F49"/>
      <c r="G49"/>
    </row>
    <row r="50" spans="1:7" s="11" customFormat="1">
      <c r="A50" s="120">
        <f t="shared" si="1"/>
        <v>1972</v>
      </c>
      <c r="B50" s="14">
        <v>4.0618400000000001</v>
      </c>
      <c r="C50" s="44">
        <f t="shared" si="0"/>
        <v>4.0618399999999999E-2</v>
      </c>
      <c r="D50"/>
      <c r="E50"/>
      <c r="F50"/>
      <c r="G50"/>
    </row>
    <row r="51" spans="1:7" s="11" customFormat="1">
      <c r="A51" s="120">
        <f t="shared" si="1"/>
        <v>1973</v>
      </c>
      <c r="B51" s="14">
        <v>7.0354435483870965</v>
      </c>
      <c r="C51" s="44">
        <f t="shared" si="0"/>
        <v>7.0354435483870964E-2</v>
      </c>
      <c r="D51"/>
      <c r="E51"/>
      <c r="F51"/>
      <c r="G51"/>
    </row>
    <row r="52" spans="1:7" s="11" customFormat="1">
      <c r="A52" s="120">
        <f t="shared" si="1"/>
        <v>1974</v>
      </c>
      <c r="B52" s="14">
        <v>7.8457831325301202</v>
      </c>
      <c r="C52" s="44">
        <f t="shared" si="0"/>
        <v>7.8457831325301208E-2</v>
      </c>
      <c r="D52"/>
      <c r="E52"/>
      <c r="F52"/>
      <c r="G52"/>
    </row>
    <row r="53" spans="1:7" s="11" customFormat="1">
      <c r="A53" s="120">
        <f t="shared" si="1"/>
        <v>1975</v>
      </c>
      <c r="B53" s="14">
        <v>5.7863855421686745</v>
      </c>
      <c r="C53" s="44">
        <f t="shared" si="0"/>
        <v>5.7863855421686747E-2</v>
      </c>
      <c r="D53"/>
      <c r="E53"/>
      <c r="F53"/>
      <c r="G53"/>
    </row>
    <row r="54" spans="1:7" s="11" customFormat="1">
      <c r="A54" s="120">
        <f t="shared" si="1"/>
        <v>1976</v>
      </c>
      <c r="B54" s="14">
        <v>4.9766000000000004</v>
      </c>
      <c r="C54" s="44">
        <f t="shared" si="0"/>
        <v>4.9766000000000005E-2</v>
      </c>
      <c r="D54"/>
      <c r="E54"/>
      <c r="F54"/>
      <c r="G54"/>
    </row>
    <row r="55" spans="1:7" s="11" customFormat="1">
      <c r="A55" s="120">
        <f t="shared" si="1"/>
        <v>1977</v>
      </c>
      <c r="B55" s="14">
        <v>5.2609638554216867</v>
      </c>
      <c r="C55" s="44">
        <f t="shared" si="0"/>
        <v>5.2609638554216867E-2</v>
      </c>
      <c r="D55"/>
      <c r="E55"/>
      <c r="F55"/>
      <c r="G55"/>
    </row>
    <row r="56" spans="1:7" s="11" customFormat="1">
      <c r="A56" s="120">
        <f t="shared" si="1"/>
        <v>1978</v>
      </c>
      <c r="B56" s="14">
        <v>7.1783064516129036</v>
      </c>
      <c r="C56" s="44">
        <f t="shared" si="0"/>
        <v>7.1783064516129036E-2</v>
      </c>
      <c r="D56"/>
      <c r="E56"/>
      <c r="F56"/>
      <c r="G56"/>
    </row>
    <row r="57" spans="1:7" s="11" customFormat="1">
      <c r="A57" s="120">
        <f t="shared" si="1"/>
        <v>1979</v>
      </c>
      <c r="B57" s="14">
        <v>10.054274193548387</v>
      </c>
      <c r="C57" s="44">
        <f t="shared" si="0"/>
        <v>0.10054274193548388</v>
      </c>
      <c r="D57"/>
      <c r="E57"/>
      <c r="F57"/>
      <c r="G57"/>
    </row>
    <row r="58" spans="1:7" s="11" customFormat="1">
      <c r="A58" s="120">
        <f t="shared" si="1"/>
        <v>1980</v>
      </c>
      <c r="B58" s="14">
        <v>11.39188</v>
      </c>
      <c r="C58" s="44">
        <f t="shared" si="0"/>
        <v>0.1139188</v>
      </c>
      <c r="D58"/>
      <c r="E58"/>
      <c r="F58"/>
      <c r="G58"/>
    </row>
    <row r="59" spans="1:7" s="11" customFormat="1">
      <c r="A59" s="120">
        <f t="shared" si="1"/>
        <v>1981</v>
      </c>
      <c r="B59" s="14">
        <v>14.036184738955823</v>
      </c>
      <c r="C59" s="44">
        <f t="shared" si="0"/>
        <v>0.14036184738955823</v>
      </c>
      <c r="D59"/>
      <c r="E59"/>
      <c r="F59"/>
      <c r="G59"/>
    </row>
    <row r="60" spans="1:7" s="11" customFormat="1">
      <c r="A60" s="120">
        <f t="shared" si="1"/>
        <v>1982</v>
      </c>
      <c r="B60" s="14">
        <v>11.09</v>
      </c>
      <c r="C60" s="44">
        <f t="shared" si="0"/>
        <v>0.1109</v>
      </c>
      <c r="D60"/>
      <c r="E60"/>
      <c r="F60"/>
      <c r="G60"/>
    </row>
    <row r="61" spans="1:7" s="11" customFormat="1">
      <c r="A61" s="120">
        <f t="shared" si="1"/>
        <v>1983</v>
      </c>
      <c r="B61" s="14">
        <v>8.9499999999999993</v>
      </c>
      <c r="C61" s="44">
        <f t="shared" si="0"/>
        <v>8.9499999999999996E-2</v>
      </c>
      <c r="D61"/>
      <c r="E61"/>
      <c r="F61"/>
      <c r="G61"/>
    </row>
    <row r="62" spans="1:7" s="11" customFormat="1">
      <c r="A62" s="120">
        <f t="shared" si="1"/>
        <v>1984</v>
      </c>
      <c r="B62" s="14">
        <v>9.92</v>
      </c>
      <c r="C62" s="44">
        <f t="shared" si="0"/>
        <v>9.9199999999999997E-2</v>
      </c>
      <c r="D62"/>
      <c r="E62"/>
      <c r="F62"/>
      <c r="G62"/>
    </row>
    <row r="63" spans="1:7" s="11" customFormat="1">
      <c r="A63" s="120">
        <f t="shared" si="1"/>
        <v>1985</v>
      </c>
      <c r="B63" s="14">
        <v>7.72</v>
      </c>
      <c r="C63" s="44">
        <f t="shared" si="0"/>
        <v>7.7199999999999991E-2</v>
      </c>
      <c r="D63"/>
      <c r="E63"/>
      <c r="F63"/>
      <c r="G63"/>
    </row>
    <row r="64" spans="1:7" s="11" customFormat="1">
      <c r="A64" s="120">
        <f t="shared" si="1"/>
        <v>1986</v>
      </c>
      <c r="B64" s="14">
        <v>6.15</v>
      </c>
      <c r="C64" s="44">
        <f t="shared" si="0"/>
        <v>6.1500000000000006E-2</v>
      </c>
      <c r="D64"/>
      <c r="E64"/>
      <c r="F64"/>
      <c r="G64"/>
    </row>
    <row r="65" spans="1:7" s="11" customFormat="1">
      <c r="A65" s="120">
        <f t="shared" si="1"/>
        <v>1987</v>
      </c>
      <c r="B65" s="14">
        <v>5.96</v>
      </c>
      <c r="C65" s="44">
        <f t="shared" si="0"/>
        <v>5.96E-2</v>
      </c>
      <c r="D65"/>
      <c r="E65"/>
      <c r="F65"/>
      <c r="G65"/>
    </row>
    <row r="66" spans="1:7" s="11" customFormat="1">
      <c r="A66" s="120">
        <f t="shared" si="1"/>
        <v>1988</v>
      </c>
      <c r="B66" s="14">
        <v>6.89</v>
      </c>
      <c r="C66" s="44">
        <f t="shared" si="0"/>
        <v>6.8900000000000003E-2</v>
      </c>
      <c r="D66"/>
      <c r="E66"/>
      <c r="F66"/>
      <c r="G66"/>
    </row>
    <row r="67" spans="1:7" s="11" customFormat="1">
      <c r="A67" s="120">
        <f t="shared" si="1"/>
        <v>1989</v>
      </c>
      <c r="B67" s="14">
        <v>8.39</v>
      </c>
      <c r="C67" s="44">
        <f t="shared" si="0"/>
        <v>8.3900000000000002E-2</v>
      </c>
      <c r="D67"/>
      <c r="E67"/>
      <c r="F67"/>
      <c r="G67"/>
    </row>
    <row r="68" spans="1:7" s="11" customFormat="1">
      <c r="A68" s="120">
        <f t="shared" si="1"/>
        <v>1990</v>
      </c>
      <c r="B68" s="14">
        <v>7.75</v>
      </c>
      <c r="C68" s="44">
        <f t="shared" si="0"/>
        <v>7.7499999999999999E-2</v>
      </c>
      <c r="D68"/>
      <c r="E68"/>
      <c r="F68"/>
      <c r="G68"/>
    </row>
    <row r="69" spans="1:7" s="11" customFormat="1">
      <c r="A69" s="120">
        <f t="shared" si="1"/>
        <v>1991</v>
      </c>
      <c r="B69" s="14">
        <v>5.54</v>
      </c>
      <c r="C69" s="44">
        <f t="shared" si="0"/>
        <v>5.5399999999999998E-2</v>
      </c>
      <c r="D69"/>
      <c r="E69"/>
      <c r="F69"/>
      <c r="G69"/>
    </row>
    <row r="70" spans="1:7" s="11" customFormat="1">
      <c r="A70" s="120">
        <f t="shared" si="1"/>
        <v>1992</v>
      </c>
      <c r="B70" s="14">
        <v>3.51</v>
      </c>
      <c r="C70" s="44">
        <f t="shared" si="0"/>
        <v>3.5099999999999999E-2</v>
      </c>
      <c r="D70"/>
      <c r="E70"/>
      <c r="F70"/>
      <c r="G70"/>
    </row>
    <row r="71" spans="1:7" s="11" customFormat="1">
      <c r="A71" s="120">
        <f t="shared" si="1"/>
        <v>1993</v>
      </c>
      <c r="B71" s="14">
        <v>3.07</v>
      </c>
      <c r="C71" s="44">
        <f t="shared" si="0"/>
        <v>3.0699999999999998E-2</v>
      </c>
      <c r="D71"/>
      <c r="E71"/>
      <c r="F71"/>
      <c r="G71"/>
    </row>
    <row r="72" spans="1:7" s="11" customFormat="1">
      <c r="A72" s="120">
        <f t="shared" si="1"/>
        <v>1994</v>
      </c>
      <c r="B72" s="14">
        <v>4.37</v>
      </c>
      <c r="C72" s="44">
        <f t="shared" si="0"/>
        <v>4.3700000000000003E-2</v>
      </c>
      <c r="D72"/>
      <c r="E72"/>
      <c r="F72"/>
      <c r="G72"/>
    </row>
    <row r="73" spans="1:7" s="11" customFormat="1">
      <c r="A73" s="120">
        <f t="shared" si="1"/>
        <v>1995</v>
      </c>
      <c r="B73" s="14">
        <v>5.66</v>
      </c>
      <c r="C73" s="44">
        <f t="shared" si="0"/>
        <v>5.6600000000000004E-2</v>
      </c>
      <c r="D73"/>
      <c r="E73"/>
      <c r="F73"/>
      <c r="G73"/>
    </row>
    <row r="74" spans="1:7" s="11" customFormat="1">
      <c r="A74" s="120">
        <f t="shared" si="1"/>
        <v>1996</v>
      </c>
      <c r="B74" s="14">
        <v>5.15</v>
      </c>
      <c r="C74" s="44">
        <f t="shared" si="0"/>
        <v>5.1500000000000004E-2</v>
      </c>
      <c r="D74"/>
      <c r="E74"/>
      <c r="F74"/>
      <c r="G74"/>
    </row>
    <row r="75" spans="1:7" s="11" customFormat="1">
      <c r="A75" s="120">
        <f t="shared" si="1"/>
        <v>1997</v>
      </c>
      <c r="B75" s="14">
        <v>5.2</v>
      </c>
      <c r="C75" s="44">
        <f t="shared" si="0"/>
        <v>5.2000000000000005E-2</v>
      </c>
      <c r="D75"/>
      <c r="E75"/>
      <c r="F75"/>
      <c r="G75"/>
    </row>
    <row r="76" spans="1:7" s="11" customFormat="1">
      <c r="A76" s="120">
        <f t="shared" si="1"/>
        <v>1998</v>
      </c>
      <c r="B76" s="14">
        <v>4.91</v>
      </c>
      <c r="C76" s="44">
        <f t="shared" si="0"/>
        <v>4.9100000000000005E-2</v>
      </c>
      <c r="D76"/>
      <c r="E76"/>
      <c r="F76"/>
      <c r="G76"/>
    </row>
    <row r="77" spans="1:7" s="11" customFormat="1">
      <c r="A77" s="120">
        <f t="shared" si="1"/>
        <v>1999</v>
      </c>
      <c r="B77" s="14">
        <v>4.78</v>
      </c>
      <c r="C77" s="44">
        <f t="shared" ref="C77:C103" si="2">B77/100</f>
        <v>4.7800000000000002E-2</v>
      </c>
      <c r="D77"/>
      <c r="E77"/>
      <c r="F77"/>
      <c r="G77"/>
    </row>
    <row r="78" spans="1:7" s="11" customFormat="1">
      <c r="A78" s="120">
        <f t="shared" ref="A78:A103" si="3">A77+1</f>
        <v>2000</v>
      </c>
      <c r="B78" s="14">
        <v>6</v>
      </c>
      <c r="C78" s="44">
        <f t="shared" si="2"/>
        <v>0.06</v>
      </c>
      <c r="D78"/>
      <c r="E78"/>
      <c r="F78"/>
      <c r="G78"/>
    </row>
    <row r="79" spans="1:7" s="11" customFormat="1">
      <c r="A79" s="120">
        <f t="shared" si="3"/>
        <v>2001</v>
      </c>
      <c r="B79" s="14">
        <v>3.48</v>
      </c>
      <c r="C79" s="44">
        <f t="shared" si="2"/>
        <v>3.4799999999999998E-2</v>
      </c>
      <c r="D79"/>
      <c r="E79"/>
      <c r="F79"/>
      <c r="G79"/>
    </row>
    <row r="80" spans="1:7" s="11" customFormat="1">
      <c r="A80" s="120">
        <f t="shared" si="3"/>
        <v>2002</v>
      </c>
      <c r="B80" s="14">
        <v>1.64</v>
      </c>
      <c r="C80" s="44">
        <f t="shared" si="2"/>
        <v>1.6399999999999998E-2</v>
      </c>
      <c r="D80"/>
      <c r="E80"/>
      <c r="F80"/>
      <c r="G80"/>
    </row>
    <row r="81" spans="1:7" s="11" customFormat="1">
      <c r="A81" s="120">
        <f t="shared" si="3"/>
        <v>2003</v>
      </c>
      <c r="B81" s="14">
        <v>1.03</v>
      </c>
      <c r="C81" s="44">
        <f t="shared" si="2"/>
        <v>1.03E-2</v>
      </c>
      <c r="D81"/>
      <c r="E81"/>
      <c r="F81"/>
      <c r="G81"/>
    </row>
    <row r="82" spans="1:7" s="11" customFormat="1">
      <c r="A82" s="120">
        <f t="shared" si="3"/>
        <v>2004</v>
      </c>
      <c r="B82" s="14">
        <v>1.4</v>
      </c>
      <c r="C82" s="44">
        <f t="shared" si="2"/>
        <v>1.3999999999999999E-2</v>
      </c>
      <c r="D82"/>
      <c r="E82"/>
      <c r="F82"/>
      <c r="G82"/>
    </row>
    <row r="83" spans="1:7" s="11" customFormat="1">
      <c r="A83" s="120">
        <f t="shared" si="3"/>
        <v>2005</v>
      </c>
      <c r="B83" s="14">
        <v>3.22</v>
      </c>
      <c r="C83" s="44">
        <f t="shared" si="2"/>
        <v>3.2199999999999999E-2</v>
      </c>
      <c r="D83"/>
      <c r="E83"/>
      <c r="F83"/>
      <c r="G83"/>
    </row>
    <row r="84" spans="1:7" s="11" customFormat="1">
      <c r="A84" s="120">
        <f t="shared" si="3"/>
        <v>2006</v>
      </c>
      <c r="B84" s="14">
        <v>4.8499999999999996</v>
      </c>
      <c r="C84" s="44">
        <f t="shared" si="2"/>
        <v>4.8499999999999995E-2</v>
      </c>
      <c r="D84"/>
      <c r="E84"/>
      <c r="F84"/>
      <c r="G84"/>
    </row>
    <row r="85" spans="1:7" s="11" customFormat="1">
      <c r="A85" s="120">
        <f t="shared" si="3"/>
        <v>2007</v>
      </c>
      <c r="B85" s="14">
        <v>4.4800000000000004</v>
      </c>
      <c r="C85" s="44">
        <f t="shared" si="2"/>
        <v>4.4800000000000006E-2</v>
      </c>
      <c r="D85"/>
      <c r="E85"/>
      <c r="F85"/>
      <c r="G85"/>
    </row>
    <row r="86" spans="1:7" s="11" customFormat="1">
      <c r="A86" s="120">
        <f t="shared" si="3"/>
        <v>2008</v>
      </c>
      <c r="B86" s="14">
        <v>1.4</v>
      </c>
      <c r="C86" s="44">
        <f t="shared" si="2"/>
        <v>1.3999999999999999E-2</v>
      </c>
      <c r="D86"/>
      <c r="E86"/>
      <c r="F86"/>
      <c r="G86"/>
    </row>
    <row r="87" spans="1:7" s="11" customFormat="1">
      <c r="A87" s="120">
        <f t="shared" si="3"/>
        <v>2009</v>
      </c>
      <c r="B87" s="14">
        <v>0.15</v>
      </c>
      <c r="C87" s="44">
        <f t="shared" si="2"/>
        <v>1.5E-3</v>
      </c>
      <c r="D87"/>
      <c r="E87"/>
      <c r="F87"/>
      <c r="G87"/>
    </row>
    <row r="88" spans="1:7" s="11" customFormat="1">
      <c r="A88" s="120">
        <f t="shared" si="3"/>
        <v>2010</v>
      </c>
      <c r="B88" s="14">
        <v>0.14000000000000001</v>
      </c>
      <c r="C88" s="44">
        <f t="shared" si="2"/>
        <v>1.4000000000000002E-3</v>
      </c>
      <c r="D88"/>
      <c r="E88"/>
      <c r="F88"/>
      <c r="G88"/>
    </row>
    <row r="89" spans="1:7" s="11" customFormat="1">
      <c r="A89" s="120">
        <f t="shared" si="3"/>
        <v>2011</v>
      </c>
      <c r="B89" s="14">
        <v>0.05</v>
      </c>
      <c r="C89" s="44">
        <f t="shared" si="2"/>
        <v>5.0000000000000001E-4</v>
      </c>
      <c r="D89"/>
      <c r="E89"/>
      <c r="F89"/>
      <c r="G89"/>
    </row>
    <row r="90" spans="1:7" s="11" customFormat="1">
      <c r="A90" s="120">
        <f t="shared" si="3"/>
        <v>2012</v>
      </c>
      <c r="B90" s="14">
        <v>0.09</v>
      </c>
      <c r="C90" s="44">
        <f t="shared" si="2"/>
        <v>8.9999999999999998E-4</v>
      </c>
      <c r="D90"/>
      <c r="E90"/>
      <c r="F90"/>
      <c r="G90"/>
    </row>
    <row r="91" spans="1:7" s="11" customFormat="1">
      <c r="A91" s="120">
        <f t="shared" si="3"/>
        <v>2013</v>
      </c>
      <c r="B91" s="14">
        <v>0.06</v>
      </c>
      <c r="C91" s="44">
        <f t="shared" si="2"/>
        <v>5.9999999999999995E-4</v>
      </c>
      <c r="D91"/>
      <c r="E91"/>
      <c r="F91"/>
      <c r="G91"/>
    </row>
    <row r="92" spans="1:7" s="11" customFormat="1">
      <c r="A92" s="120">
        <f t="shared" si="3"/>
        <v>2014</v>
      </c>
      <c r="B92" s="14">
        <v>0.03</v>
      </c>
      <c r="C92" s="44">
        <f t="shared" si="2"/>
        <v>2.9999999999999997E-4</v>
      </c>
      <c r="D92"/>
      <c r="E92"/>
      <c r="F92"/>
      <c r="G92"/>
    </row>
    <row r="93" spans="1:7" s="11" customFormat="1">
      <c r="A93" s="120">
        <f t="shared" si="3"/>
        <v>2015</v>
      </c>
      <c r="B93" s="14">
        <v>0.05</v>
      </c>
      <c r="C93" s="44">
        <f t="shared" si="2"/>
        <v>5.0000000000000001E-4</v>
      </c>
      <c r="D93"/>
      <c r="E93"/>
      <c r="F93"/>
      <c r="G93"/>
    </row>
    <row r="94" spans="1:7" s="11" customFormat="1">
      <c r="A94" s="120">
        <f t="shared" si="3"/>
        <v>2016</v>
      </c>
      <c r="B94" s="14">
        <v>0.32</v>
      </c>
      <c r="C94" s="44">
        <f t="shared" si="2"/>
        <v>3.2000000000000002E-3</v>
      </c>
      <c r="D94"/>
      <c r="E94"/>
      <c r="F94"/>
      <c r="G94"/>
    </row>
    <row r="95" spans="1:7" s="11" customFormat="1">
      <c r="A95" s="120">
        <f t="shared" si="3"/>
        <v>2017</v>
      </c>
      <c r="B95" s="14">
        <v>0.95</v>
      </c>
      <c r="C95" s="44">
        <f t="shared" si="2"/>
        <v>9.4999999999999998E-3</v>
      </c>
      <c r="D95"/>
      <c r="E95"/>
      <c r="F95"/>
      <c r="G95"/>
    </row>
    <row r="96" spans="1:7" s="11" customFormat="1">
      <c r="A96" s="120">
        <f t="shared" si="3"/>
        <v>2018</v>
      </c>
      <c r="B96" s="14">
        <v>1.97</v>
      </c>
      <c r="C96" s="44">
        <f t="shared" si="2"/>
        <v>1.9699999999999999E-2</v>
      </c>
      <c r="D96"/>
      <c r="E96"/>
      <c r="F96"/>
      <c r="G96"/>
    </row>
    <row r="97" spans="1:7" s="11" customFormat="1">
      <c r="A97" s="120">
        <f t="shared" si="3"/>
        <v>2019</v>
      </c>
      <c r="B97" s="14">
        <v>2.11</v>
      </c>
      <c r="C97" s="44">
        <f t="shared" si="2"/>
        <v>2.1099999999999997E-2</v>
      </c>
      <c r="D97"/>
      <c r="E97"/>
      <c r="F97"/>
      <c r="G97"/>
    </row>
    <row r="98" spans="1:7" s="11" customFormat="1">
      <c r="A98" s="120">
        <f t="shared" si="3"/>
        <v>2020</v>
      </c>
      <c r="B98" s="14">
        <v>0.36</v>
      </c>
      <c r="C98" s="44">
        <f t="shared" si="2"/>
        <v>3.5999999999999999E-3</v>
      </c>
      <c r="D98"/>
      <c r="E98"/>
      <c r="F98"/>
      <c r="G98"/>
    </row>
    <row r="99" spans="1:7" s="11" customFormat="1">
      <c r="A99" s="120">
        <f t="shared" si="3"/>
        <v>2021</v>
      </c>
      <c r="B99" s="14">
        <v>0.04</v>
      </c>
      <c r="C99" s="44">
        <f t="shared" si="2"/>
        <v>4.0000000000000002E-4</v>
      </c>
      <c r="D99"/>
      <c r="E99"/>
      <c r="F99"/>
      <c r="G99"/>
    </row>
    <row r="100" spans="1:7" s="11" customFormat="1">
      <c r="A100" s="120">
        <f t="shared" si="3"/>
        <v>2022</v>
      </c>
      <c r="B100" s="14">
        <v>2.09</v>
      </c>
      <c r="C100" s="44">
        <f t="shared" si="2"/>
        <v>2.0899999999999998E-2</v>
      </c>
      <c r="D100"/>
      <c r="E100"/>
      <c r="F100"/>
      <c r="G100"/>
    </row>
    <row r="101" spans="1:7" s="11" customFormat="1">
      <c r="A101" s="120">
        <f t="shared" si="3"/>
        <v>2023</v>
      </c>
      <c r="B101" s="14">
        <v>5.28</v>
      </c>
      <c r="C101" s="44">
        <f t="shared" si="2"/>
        <v>5.28E-2</v>
      </c>
      <c r="D101"/>
      <c r="E101"/>
      <c r="F101"/>
      <c r="G101"/>
    </row>
    <row r="102" spans="1:7" s="11" customFormat="1">
      <c r="A102" s="120">
        <f t="shared" si="3"/>
        <v>2024</v>
      </c>
      <c r="B102" s="14">
        <v>5.18</v>
      </c>
      <c r="C102" s="44">
        <f t="shared" si="2"/>
        <v>5.1799999999999999E-2</v>
      </c>
      <c r="D102"/>
      <c r="E102"/>
      <c r="F102"/>
      <c r="G102"/>
    </row>
    <row r="103" spans="1:7" s="11" customFormat="1">
      <c r="A103" s="120">
        <f t="shared" si="3"/>
        <v>2025</v>
      </c>
      <c r="B103" s="14">
        <v>4.21</v>
      </c>
      <c r="C103" s="44">
        <f t="shared" si="2"/>
        <v>4.2099999999999999E-2</v>
      </c>
      <c r="D103"/>
      <c r="E103"/>
      <c r="F103"/>
      <c r="G103"/>
    </row>
    <row r="104" spans="1:7" s="11" customFormat="1">
      <c r="A104"/>
      <c r="B104"/>
      <c r="D104"/>
      <c r="E104"/>
      <c r="F104"/>
      <c r="G104"/>
    </row>
    <row r="105" spans="1:7" s="11" customFormat="1">
      <c r="A105"/>
      <c r="B105"/>
      <c r="D105"/>
      <c r="E105"/>
      <c r="F105"/>
      <c r="G105"/>
    </row>
    <row r="106" spans="1:7" s="11" customFormat="1">
      <c r="A106"/>
      <c r="B106"/>
      <c r="D106"/>
      <c r="E106"/>
      <c r="F106"/>
      <c r="G106"/>
    </row>
    <row r="107" spans="1:7" s="11" customFormat="1">
      <c r="A107"/>
      <c r="B107"/>
      <c r="D107"/>
      <c r="E107"/>
      <c r="F107"/>
      <c r="G107"/>
    </row>
    <row r="108" spans="1:7" s="11" customFormat="1">
      <c r="A108"/>
      <c r="B108"/>
      <c r="D108"/>
      <c r="E108"/>
      <c r="F108"/>
      <c r="G108"/>
    </row>
    <row r="109" spans="1:7" s="11" customFormat="1">
      <c r="A109"/>
      <c r="B109"/>
      <c r="D109"/>
      <c r="E109"/>
      <c r="F109"/>
      <c r="G109"/>
    </row>
    <row r="110" spans="1:7" s="11" customFormat="1">
      <c r="A110"/>
      <c r="B110"/>
      <c r="D110"/>
      <c r="E110"/>
      <c r="F110"/>
      <c r="G110"/>
    </row>
    <row r="111" spans="1:7" s="11" customFormat="1">
      <c r="A111"/>
      <c r="B111"/>
      <c r="D111"/>
      <c r="E111"/>
      <c r="F111"/>
      <c r="G111"/>
    </row>
    <row r="112" spans="1:7" s="11" customFormat="1">
      <c r="A112"/>
      <c r="B112"/>
      <c r="D112"/>
      <c r="E112"/>
      <c r="F112"/>
      <c r="G112"/>
    </row>
    <row r="113" spans="1:7" s="11" customFormat="1">
      <c r="A113"/>
      <c r="B113"/>
      <c r="D113"/>
      <c r="E113"/>
      <c r="F113"/>
      <c r="G113"/>
    </row>
    <row r="114" spans="1:7" s="11" customFormat="1">
      <c r="A114"/>
      <c r="B114"/>
      <c r="D114"/>
      <c r="E114"/>
      <c r="F114"/>
      <c r="G114"/>
    </row>
    <row r="115" spans="1:7" s="11" customFormat="1">
      <c r="A115"/>
      <c r="B115"/>
      <c r="D115"/>
      <c r="E115"/>
      <c r="F115"/>
      <c r="G115"/>
    </row>
    <row r="116" spans="1:7" s="11" customFormat="1">
      <c r="A116"/>
      <c r="B116"/>
      <c r="D116"/>
      <c r="E116"/>
      <c r="F116"/>
      <c r="G116"/>
    </row>
    <row r="117" spans="1:7" s="11" customFormat="1">
      <c r="A117"/>
      <c r="B117"/>
      <c r="D117"/>
      <c r="E117"/>
      <c r="F117"/>
      <c r="G117"/>
    </row>
    <row r="118" spans="1:7" s="11" customFormat="1">
      <c r="A118"/>
      <c r="B118"/>
      <c r="D118"/>
      <c r="E118"/>
      <c r="F118"/>
      <c r="G118"/>
    </row>
    <row r="119" spans="1:7" s="11" customFormat="1">
      <c r="A119"/>
      <c r="B119"/>
      <c r="D119"/>
      <c r="E119"/>
      <c r="F119"/>
      <c r="G119"/>
    </row>
    <row r="120" spans="1:7" s="11" customFormat="1">
      <c r="A120"/>
      <c r="B120"/>
      <c r="D120"/>
      <c r="E120"/>
      <c r="F120"/>
      <c r="G120"/>
    </row>
    <row r="121" spans="1:7" s="11" customFormat="1">
      <c r="A121"/>
      <c r="B121"/>
      <c r="D121"/>
      <c r="E121"/>
      <c r="F121"/>
      <c r="G121"/>
    </row>
    <row r="122" spans="1:7" s="11" customFormat="1">
      <c r="A122"/>
      <c r="B122"/>
      <c r="D122"/>
      <c r="E122"/>
      <c r="F122"/>
      <c r="G122"/>
    </row>
    <row r="123" spans="1:7" s="11" customFormat="1">
      <c r="A123"/>
      <c r="B123"/>
      <c r="D123"/>
      <c r="E123"/>
      <c r="F123"/>
      <c r="G123"/>
    </row>
    <row r="124" spans="1:7" s="11" customFormat="1">
      <c r="A124"/>
      <c r="B124"/>
      <c r="D124"/>
      <c r="E124"/>
      <c r="F124"/>
      <c r="G124"/>
    </row>
    <row r="125" spans="1:7" s="11" customFormat="1">
      <c r="A125"/>
      <c r="B125"/>
      <c r="D125"/>
      <c r="E125"/>
      <c r="F125"/>
      <c r="G125"/>
    </row>
    <row r="126" spans="1:7" s="11" customFormat="1">
      <c r="A126"/>
      <c r="B126"/>
      <c r="D126"/>
      <c r="E126"/>
      <c r="F126"/>
      <c r="G126"/>
    </row>
    <row r="127" spans="1:7" s="11" customFormat="1">
      <c r="A127"/>
      <c r="B127"/>
      <c r="D127"/>
      <c r="E127"/>
      <c r="F127"/>
      <c r="G127"/>
    </row>
    <row r="128" spans="1:7" s="11" customFormat="1">
      <c r="A128"/>
      <c r="B128"/>
      <c r="D128"/>
      <c r="E128"/>
      <c r="F128"/>
      <c r="G128"/>
    </row>
    <row r="129" spans="1:7" s="11" customFormat="1">
      <c r="A129"/>
      <c r="B129"/>
      <c r="D129"/>
      <c r="E129"/>
      <c r="F129"/>
      <c r="G129"/>
    </row>
    <row r="130" spans="1:7" s="11" customFormat="1">
      <c r="A130"/>
      <c r="B130"/>
      <c r="D130"/>
      <c r="E130"/>
      <c r="F130"/>
      <c r="G130"/>
    </row>
    <row r="131" spans="1:7" s="11" customFormat="1">
      <c r="A131"/>
      <c r="B131"/>
      <c r="D131"/>
      <c r="E131"/>
      <c r="F131"/>
      <c r="G131"/>
    </row>
    <row r="132" spans="1:7" s="11" customFormat="1">
      <c r="A132"/>
      <c r="B132"/>
      <c r="D132"/>
      <c r="E132"/>
      <c r="F132"/>
      <c r="G132"/>
    </row>
    <row r="133" spans="1:7" s="11" customFormat="1">
      <c r="A133"/>
      <c r="B133"/>
      <c r="D133"/>
      <c r="E133"/>
      <c r="F133"/>
      <c r="G133"/>
    </row>
    <row r="134" spans="1:7" s="11" customFormat="1">
      <c r="A134"/>
      <c r="B134"/>
      <c r="D134"/>
      <c r="E134"/>
      <c r="F134"/>
      <c r="G134"/>
    </row>
    <row r="135" spans="1:7" s="11" customFormat="1">
      <c r="A135"/>
      <c r="B135"/>
      <c r="D135"/>
      <c r="E135"/>
      <c r="F135"/>
      <c r="G135"/>
    </row>
    <row r="136" spans="1:7" s="11" customFormat="1">
      <c r="A136"/>
      <c r="B136"/>
      <c r="D136"/>
      <c r="E136"/>
      <c r="F136"/>
      <c r="G136"/>
    </row>
    <row r="137" spans="1:7" s="11" customFormat="1">
      <c r="A137"/>
      <c r="B137"/>
      <c r="D137"/>
      <c r="E137"/>
      <c r="F137"/>
      <c r="G137"/>
    </row>
    <row r="138" spans="1:7" s="11" customFormat="1">
      <c r="A138"/>
      <c r="B138"/>
      <c r="D138"/>
      <c r="E138"/>
      <c r="F138"/>
      <c r="G138"/>
    </row>
    <row r="139" spans="1:7" s="11" customFormat="1">
      <c r="A139"/>
      <c r="B139"/>
      <c r="D139"/>
      <c r="E139"/>
      <c r="F139"/>
      <c r="G139"/>
    </row>
    <row r="140" spans="1:7" s="11" customFormat="1">
      <c r="A140"/>
      <c r="B140"/>
      <c r="D140"/>
      <c r="E140"/>
      <c r="F140"/>
      <c r="G140"/>
    </row>
    <row r="141" spans="1:7" s="11" customFormat="1">
      <c r="A141"/>
      <c r="B141"/>
      <c r="D141"/>
      <c r="E141"/>
      <c r="F141"/>
      <c r="G141"/>
    </row>
    <row r="142" spans="1:7" s="11" customFormat="1">
      <c r="A142"/>
      <c r="B142"/>
      <c r="D142"/>
      <c r="E142"/>
      <c r="F142"/>
      <c r="G142"/>
    </row>
    <row r="143" spans="1:7" s="11" customFormat="1">
      <c r="A143"/>
      <c r="B143"/>
      <c r="D143"/>
      <c r="E143"/>
      <c r="F143"/>
      <c r="G143"/>
    </row>
    <row r="144" spans="1:7" s="11" customFormat="1">
      <c r="A144"/>
      <c r="B144"/>
      <c r="D144"/>
      <c r="E144"/>
      <c r="F144"/>
      <c r="G144"/>
    </row>
    <row r="145" spans="1:7" s="11" customFormat="1">
      <c r="A145"/>
      <c r="B145"/>
      <c r="D145"/>
      <c r="E145"/>
      <c r="F145"/>
      <c r="G145"/>
    </row>
    <row r="146" spans="1:7" s="11" customFormat="1">
      <c r="A146"/>
      <c r="B146"/>
      <c r="D146"/>
      <c r="E146"/>
      <c r="F146"/>
      <c r="G146"/>
    </row>
    <row r="147" spans="1:7" s="11" customFormat="1">
      <c r="A147"/>
      <c r="B147"/>
      <c r="D147"/>
      <c r="E147"/>
      <c r="F147"/>
      <c r="G147"/>
    </row>
    <row r="148" spans="1:7" s="11" customFormat="1">
      <c r="A148"/>
      <c r="B148"/>
      <c r="D148"/>
      <c r="E148"/>
      <c r="F148"/>
      <c r="G148"/>
    </row>
    <row r="149" spans="1:7" s="11" customFormat="1">
      <c r="A149"/>
      <c r="B149"/>
      <c r="D149"/>
      <c r="E149"/>
      <c r="F149"/>
      <c r="G149"/>
    </row>
    <row r="150" spans="1:7" s="11" customFormat="1">
      <c r="A150"/>
      <c r="B150"/>
      <c r="D150"/>
      <c r="E150"/>
      <c r="F150"/>
      <c r="G150"/>
    </row>
    <row r="151" spans="1:7" s="11" customFormat="1">
      <c r="A151"/>
      <c r="B151"/>
      <c r="D151"/>
      <c r="E151"/>
      <c r="F151"/>
      <c r="G151"/>
    </row>
    <row r="152" spans="1:7" s="11" customFormat="1">
      <c r="A152"/>
      <c r="B152"/>
      <c r="D152"/>
      <c r="E152"/>
      <c r="F152"/>
      <c r="G152"/>
    </row>
    <row r="153" spans="1:7" s="11" customFormat="1">
      <c r="A153"/>
      <c r="B153"/>
      <c r="D153"/>
      <c r="E153"/>
      <c r="F153"/>
      <c r="G153"/>
    </row>
    <row r="154" spans="1:7" s="11" customFormat="1">
      <c r="A154"/>
      <c r="B154"/>
      <c r="D154"/>
      <c r="E154"/>
      <c r="F154"/>
      <c r="G154"/>
    </row>
    <row r="155" spans="1:7" s="11" customFormat="1">
      <c r="A155"/>
      <c r="B155"/>
      <c r="D155"/>
      <c r="E155"/>
      <c r="F155"/>
      <c r="G155"/>
    </row>
    <row r="156" spans="1:7" s="11" customFormat="1">
      <c r="A156"/>
      <c r="B156"/>
      <c r="D156"/>
      <c r="E156"/>
      <c r="F156"/>
      <c r="G156"/>
    </row>
    <row r="157" spans="1:7" s="11" customFormat="1">
      <c r="A157"/>
      <c r="B157"/>
      <c r="D157"/>
      <c r="E157"/>
      <c r="F157"/>
      <c r="G157"/>
    </row>
    <row r="158" spans="1:7" s="11" customFormat="1">
      <c r="A158"/>
      <c r="B158"/>
      <c r="D158"/>
      <c r="E158"/>
      <c r="F158"/>
      <c r="G158"/>
    </row>
    <row r="159" spans="1:7" s="11" customFormat="1">
      <c r="A159"/>
      <c r="B159"/>
      <c r="D159"/>
      <c r="E159"/>
      <c r="F159"/>
      <c r="G159"/>
    </row>
    <row r="160" spans="1:7" s="11" customFormat="1">
      <c r="A160"/>
      <c r="B160"/>
      <c r="D160"/>
      <c r="E160"/>
      <c r="F160"/>
      <c r="G160"/>
    </row>
    <row r="161" spans="1:7" s="11" customFormat="1">
      <c r="A161"/>
      <c r="B161"/>
      <c r="D161"/>
      <c r="E161"/>
      <c r="F161"/>
      <c r="G161"/>
    </row>
    <row r="162" spans="1:7" s="11" customFormat="1">
      <c r="A162"/>
      <c r="B162"/>
      <c r="D162"/>
      <c r="E162"/>
      <c r="F162"/>
      <c r="G162"/>
    </row>
    <row r="163" spans="1:7" s="11" customFormat="1">
      <c r="A163"/>
      <c r="B163"/>
      <c r="D163"/>
      <c r="E163"/>
      <c r="F163"/>
      <c r="G163"/>
    </row>
    <row r="164" spans="1:7" s="11" customFormat="1">
      <c r="A164"/>
      <c r="B164"/>
      <c r="D164"/>
      <c r="E164"/>
      <c r="F164"/>
      <c r="G164"/>
    </row>
    <row r="165" spans="1:7" s="11" customFormat="1">
      <c r="A165"/>
      <c r="B165"/>
      <c r="D165"/>
      <c r="E165"/>
      <c r="F165"/>
      <c r="G165"/>
    </row>
    <row r="166" spans="1:7" s="11" customFormat="1">
      <c r="A166"/>
      <c r="B166"/>
      <c r="D166"/>
      <c r="E166"/>
      <c r="F166"/>
      <c r="G166"/>
    </row>
    <row r="167" spans="1:7" s="11" customFormat="1">
      <c r="A167"/>
      <c r="B167"/>
      <c r="D167"/>
      <c r="E167"/>
      <c r="F167"/>
      <c r="G167"/>
    </row>
    <row r="168" spans="1:7" s="11" customFormat="1">
      <c r="A168"/>
      <c r="B168"/>
      <c r="D168"/>
      <c r="E168"/>
      <c r="F168"/>
      <c r="G168"/>
    </row>
    <row r="169" spans="1:7" s="11" customFormat="1">
      <c r="A169"/>
      <c r="B169"/>
      <c r="D169"/>
      <c r="E169"/>
      <c r="F169"/>
      <c r="G169"/>
    </row>
    <row r="170" spans="1:7" s="11" customFormat="1">
      <c r="A170"/>
      <c r="B170"/>
      <c r="D170"/>
      <c r="E170"/>
      <c r="F170"/>
      <c r="G170"/>
    </row>
    <row r="171" spans="1:7" s="11" customFormat="1">
      <c r="A171"/>
      <c r="B171"/>
      <c r="D171"/>
      <c r="E171"/>
      <c r="F171"/>
      <c r="G171"/>
    </row>
    <row r="172" spans="1:7" s="11" customFormat="1">
      <c r="A172"/>
      <c r="B172"/>
      <c r="D172"/>
      <c r="E172"/>
      <c r="F172"/>
      <c r="G172"/>
    </row>
    <row r="173" spans="1:7" s="11" customFormat="1">
      <c r="A173"/>
      <c r="B173"/>
      <c r="D173"/>
      <c r="E173"/>
      <c r="F173"/>
      <c r="G173"/>
    </row>
    <row r="174" spans="1:7" s="11" customFormat="1">
      <c r="A174"/>
      <c r="B174"/>
      <c r="D174"/>
      <c r="E174"/>
      <c r="F174"/>
      <c r="G174"/>
    </row>
    <row r="175" spans="1:7" s="11" customFormat="1">
      <c r="A175"/>
      <c r="B175"/>
      <c r="D175"/>
      <c r="E175"/>
      <c r="F175"/>
      <c r="G175"/>
    </row>
    <row r="176" spans="1:7" s="11" customFormat="1">
      <c r="A176"/>
      <c r="B176"/>
      <c r="D176"/>
      <c r="E176"/>
      <c r="F176"/>
      <c r="G176"/>
    </row>
    <row r="177" spans="1:7" s="11" customFormat="1">
      <c r="A177"/>
      <c r="B177"/>
      <c r="D177"/>
      <c r="E177"/>
      <c r="F177"/>
      <c r="G177"/>
    </row>
    <row r="178" spans="1:7" s="11" customFormat="1">
      <c r="A178"/>
      <c r="B178"/>
      <c r="D178"/>
      <c r="E178"/>
      <c r="F178"/>
      <c r="G178"/>
    </row>
    <row r="179" spans="1:7" s="11" customFormat="1">
      <c r="A179"/>
      <c r="B179"/>
      <c r="D179"/>
      <c r="E179"/>
      <c r="F179"/>
      <c r="G179"/>
    </row>
    <row r="180" spans="1:7" s="11" customFormat="1">
      <c r="A180"/>
      <c r="B180"/>
      <c r="D180"/>
      <c r="E180"/>
      <c r="F180"/>
      <c r="G180"/>
    </row>
    <row r="181" spans="1:7" s="11" customFormat="1">
      <c r="A181"/>
      <c r="B181"/>
      <c r="D181"/>
      <c r="E181"/>
      <c r="F181"/>
      <c r="G181"/>
    </row>
    <row r="182" spans="1:7" s="11" customFormat="1">
      <c r="A182"/>
      <c r="B182"/>
      <c r="D182"/>
      <c r="E182"/>
      <c r="F182"/>
      <c r="G182"/>
    </row>
    <row r="183" spans="1:7" s="11" customFormat="1">
      <c r="A183"/>
      <c r="B183"/>
      <c r="D183"/>
      <c r="E183"/>
      <c r="F183"/>
      <c r="G183"/>
    </row>
    <row r="184" spans="1:7" s="11" customFormat="1">
      <c r="A184"/>
      <c r="B184"/>
      <c r="D184"/>
      <c r="E184"/>
      <c r="F184"/>
      <c r="G184"/>
    </row>
    <row r="185" spans="1:7" s="11" customFormat="1">
      <c r="A185"/>
      <c r="B185"/>
      <c r="D185"/>
      <c r="E185"/>
      <c r="F185"/>
      <c r="G185"/>
    </row>
    <row r="186" spans="1:7" s="11" customFormat="1">
      <c r="A186"/>
      <c r="B186"/>
      <c r="D186"/>
      <c r="E186"/>
      <c r="F186"/>
      <c r="G186"/>
    </row>
    <row r="187" spans="1:7" s="11" customFormat="1">
      <c r="A187"/>
      <c r="B187"/>
      <c r="D187"/>
      <c r="E187"/>
      <c r="F187"/>
      <c r="G187"/>
    </row>
    <row r="188" spans="1:7" s="11" customFormat="1">
      <c r="A188"/>
      <c r="B188"/>
      <c r="D188"/>
      <c r="E188"/>
      <c r="F188"/>
      <c r="G188"/>
    </row>
    <row r="189" spans="1:7" s="11" customFormat="1">
      <c r="A189"/>
      <c r="B189"/>
      <c r="D189"/>
      <c r="E189"/>
      <c r="F189"/>
      <c r="G189"/>
    </row>
    <row r="190" spans="1:7" s="11" customFormat="1">
      <c r="A190"/>
      <c r="B190"/>
      <c r="D190"/>
      <c r="E190"/>
      <c r="F190"/>
      <c r="G190"/>
    </row>
    <row r="191" spans="1:7" s="11" customFormat="1">
      <c r="A191"/>
      <c r="B191"/>
      <c r="D191"/>
      <c r="E191"/>
      <c r="F191"/>
      <c r="G191"/>
    </row>
    <row r="192" spans="1:7" s="11" customFormat="1">
      <c r="A192"/>
      <c r="B192"/>
      <c r="D192"/>
      <c r="E192"/>
      <c r="F192"/>
      <c r="G192"/>
    </row>
    <row r="193" spans="1:7" s="11" customFormat="1">
      <c r="A193"/>
      <c r="B193"/>
      <c r="D193"/>
      <c r="E193"/>
      <c r="F193"/>
      <c r="G193"/>
    </row>
    <row r="194" spans="1:7" s="11" customFormat="1">
      <c r="A194"/>
      <c r="B194"/>
      <c r="D194"/>
      <c r="E194"/>
      <c r="F194"/>
      <c r="G194"/>
    </row>
    <row r="195" spans="1:7" s="11" customFormat="1">
      <c r="A195"/>
      <c r="B195"/>
      <c r="D195"/>
      <c r="E195"/>
      <c r="F195"/>
      <c r="G195"/>
    </row>
    <row r="196" spans="1:7" s="11" customFormat="1">
      <c r="A196"/>
      <c r="B196"/>
      <c r="D196"/>
      <c r="E196"/>
      <c r="F196"/>
      <c r="G196"/>
    </row>
    <row r="197" spans="1:7" s="11" customFormat="1">
      <c r="A197"/>
      <c r="B197"/>
      <c r="D197"/>
      <c r="E197"/>
      <c r="F197"/>
      <c r="G197"/>
    </row>
    <row r="198" spans="1:7" s="11" customFormat="1">
      <c r="A198"/>
      <c r="B198"/>
      <c r="D198"/>
      <c r="E198"/>
      <c r="F198"/>
      <c r="G198"/>
    </row>
    <row r="199" spans="1:7" s="11" customFormat="1">
      <c r="A199"/>
      <c r="B199"/>
      <c r="D199"/>
      <c r="E199"/>
      <c r="F199"/>
      <c r="G199"/>
    </row>
    <row r="200" spans="1:7" s="11" customFormat="1">
      <c r="A200"/>
      <c r="B200"/>
      <c r="D200"/>
      <c r="E200"/>
      <c r="F200"/>
      <c r="G200"/>
    </row>
    <row r="201" spans="1:7" s="11" customFormat="1">
      <c r="A201"/>
      <c r="B201"/>
      <c r="D201"/>
      <c r="E201"/>
      <c r="F201"/>
      <c r="G201"/>
    </row>
    <row r="202" spans="1:7" s="11" customFormat="1">
      <c r="A202"/>
      <c r="B202"/>
      <c r="D202"/>
      <c r="E202"/>
      <c r="F202"/>
      <c r="G202"/>
    </row>
    <row r="203" spans="1:7" s="11" customFormat="1">
      <c r="A203"/>
      <c r="B203"/>
      <c r="D203"/>
      <c r="E203"/>
      <c r="F203"/>
      <c r="G203"/>
    </row>
    <row r="204" spans="1:7" s="11" customFormat="1">
      <c r="A204"/>
      <c r="B204"/>
      <c r="D204"/>
      <c r="E204"/>
      <c r="F204"/>
      <c r="G204"/>
    </row>
    <row r="205" spans="1:7" s="11" customFormat="1">
      <c r="A205"/>
      <c r="B205"/>
      <c r="D205"/>
      <c r="E205"/>
      <c r="F205"/>
      <c r="G205"/>
    </row>
    <row r="206" spans="1:7" s="11" customFormat="1">
      <c r="A206"/>
      <c r="B206"/>
      <c r="D206"/>
      <c r="E206"/>
      <c r="F206"/>
      <c r="G206"/>
    </row>
    <row r="207" spans="1:7" s="11" customFormat="1">
      <c r="A207"/>
      <c r="B207"/>
      <c r="D207"/>
      <c r="E207"/>
      <c r="F207"/>
      <c r="G207"/>
    </row>
    <row r="208" spans="1:7" s="11" customFormat="1">
      <c r="A208"/>
      <c r="B208"/>
      <c r="D208"/>
      <c r="E208"/>
      <c r="F208"/>
      <c r="G208"/>
    </row>
    <row r="209" spans="1:7" s="11" customFormat="1">
      <c r="A209"/>
      <c r="B209"/>
      <c r="D209"/>
      <c r="E209"/>
      <c r="F209"/>
      <c r="G209"/>
    </row>
    <row r="210" spans="1:7" s="11" customFormat="1">
      <c r="A210"/>
      <c r="B210"/>
      <c r="D210"/>
      <c r="E210"/>
      <c r="F210"/>
      <c r="G210"/>
    </row>
    <row r="211" spans="1:7" s="11" customFormat="1">
      <c r="A211"/>
      <c r="B211"/>
      <c r="D211"/>
      <c r="E211"/>
      <c r="F211"/>
      <c r="G211"/>
    </row>
    <row r="212" spans="1:7" s="11" customFormat="1">
      <c r="A212"/>
      <c r="B212"/>
      <c r="D212"/>
      <c r="E212"/>
      <c r="F212"/>
      <c r="G212"/>
    </row>
    <row r="213" spans="1:7" s="11" customFormat="1">
      <c r="A213"/>
      <c r="B213"/>
      <c r="D213"/>
      <c r="E213"/>
      <c r="F213"/>
      <c r="G213"/>
    </row>
    <row r="214" spans="1:7" s="11" customFormat="1">
      <c r="A214"/>
      <c r="B214"/>
      <c r="D214"/>
      <c r="E214"/>
      <c r="F214"/>
      <c r="G214"/>
    </row>
    <row r="215" spans="1:7" s="11" customFormat="1">
      <c r="A215"/>
      <c r="B215"/>
      <c r="D215"/>
      <c r="E215"/>
      <c r="F215"/>
      <c r="G215"/>
    </row>
    <row r="216" spans="1:7" s="11" customFormat="1">
      <c r="A216"/>
      <c r="B216"/>
      <c r="D216"/>
      <c r="E216"/>
      <c r="F216"/>
      <c r="G216"/>
    </row>
    <row r="217" spans="1:7" s="11" customFormat="1">
      <c r="A217"/>
      <c r="B217"/>
      <c r="D217"/>
      <c r="E217"/>
      <c r="F217"/>
      <c r="G217"/>
    </row>
    <row r="218" spans="1:7" s="11" customFormat="1">
      <c r="A218"/>
      <c r="B218"/>
      <c r="D218"/>
      <c r="E218"/>
      <c r="F218"/>
      <c r="G218"/>
    </row>
    <row r="219" spans="1:7" s="11" customFormat="1">
      <c r="A219"/>
      <c r="B219"/>
      <c r="D219"/>
      <c r="E219"/>
      <c r="F219"/>
      <c r="G219"/>
    </row>
    <row r="220" spans="1:7" s="11" customFormat="1">
      <c r="A220"/>
      <c r="B220"/>
      <c r="D220"/>
      <c r="E220"/>
      <c r="F220"/>
      <c r="G220"/>
    </row>
    <row r="221" spans="1:7" s="11" customFormat="1">
      <c r="A221"/>
      <c r="B221"/>
      <c r="D221"/>
      <c r="E221"/>
      <c r="F221"/>
      <c r="G221"/>
    </row>
    <row r="222" spans="1:7" s="11" customFormat="1">
      <c r="A222"/>
      <c r="B222"/>
      <c r="D222"/>
      <c r="E222"/>
      <c r="F222"/>
      <c r="G222"/>
    </row>
    <row r="223" spans="1:7" s="11" customFormat="1">
      <c r="A223"/>
      <c r="B223"/>
      <c r="D223"/>
      <c r="E223"/>
      <c r="F223"/>
      <c r="G223"/>
    </row>
    <row r="224" spans="1:7" s="11" customFormat="1">
      <c r="A224"/>
      <c r="B224"/>
      <c r="D224"/>
      <c r="E224"/>
      <c r="F224"/>
      <c r="G224"/>
    </row>
    <row r="225" spans="1:7" s="11" customFormat="1">
      <c r="A225"/>
      <c r="B225"/>
      <c r="D225"/>
      <c r="E225"/>
      <c r="F225"/>
      <c r="G225"/>
    </row>
    <row r="226" spans="1:7" s="11" customFormat="1">
      <c r="A226"/>
      <c r="B226"/>
      <c r="D226"/>
      <c r="E226"/>
      <c r="F226"/>
      <c r="G226"/>
    </row>
    <row r="227" spans="1:7" s="11" customFormat="1">
      <c r="A227"/>
      <c r="B227"/>
      <c r="D227"/>
      <c r="E227"/>
      <c r="F227"/>
      <c r="G227"/>
    </row>
    <row r="228" spans="1:7" s="11" customFormat="1">
      <c r="A228"/>
      <c r="B228"/>
      <c r="D228"/>
      <c r="E228"/>
      <c r="F228"/>
      <c r="G228"/>
    </row>
    <row r="229" spans="1:7" s="11" customFormat="1">
      <c r="A229"/>
      <c r="B229"/>
      <c r="D229"/>
      <c r="E229"/>
      <c r="F229"/>
      <c r="G229"/>
    </row>
    <row r="230" spans="1:7" s="11" customFormat="1">
      <c r="A230"/>
      <c r="B230"/>
      <c r="D230"/>
      <c r="E230"/>
      <c r="F230"/>
      <c r="G230"/>
    </row>
    <row r="231" spans="1:7" s="11" customFormat="1">
      <c r="A231"/>
      <c r="B231"/>
      <c r="D231"/>
      <c r="E231"/>
      <c r="F231"/>
      <c r="G231"/>
    </row>
    <row r="232" spans="1:7" s="11" customFormat="1">
      <c r="A232"/>
      <c r="B232"/>
      <c r="D232"/>
      <c r="E232"/>
      <c r="F232"/>
      <c r="G232"/>
    </row>
    <row r="233" spans="1:7" s="11" customFormat="1">
      <c r="A233"/>
      <c r="B233"/>
      <c r="D233"/>
      <c r="E233"/>
      <c r="F233"/>
      <c r="G233"/>
    </row>
    <row r="234" spans="1:7" s="11" customFormat="1">
      <c r="A234"/>
      <c r="B234"/>
      <c r="D234"/>
      <c r="E234"/>
      <c r="F234"/>
      <c r="G234"/>
    </row>
    <row r="235" spans="1:7" s="11" customFormat="1">
      <c r="A235"/>
      <c r="B235"/>
      <c r="D235"/>
      <c r="E235"/>
      <c r="F235"/>
      <c r="G235"/>
    </row>
    <row r="236" spans="1:7" s="11" customFormat="1">
      <c r="A236"/>
      <c r="B236"/>
      <c r="D236"/>
      <c r="E236"/>
      <c r="F236"/>
      <c r="G236"/>
    </row>
    <row r="237" spans="1:7" s="11" customFormat="1">
      <c r="A237"/>
      <c r="B237"/>
      <c r="D237"/>
      <c r="E237"/>
      <c r="F237"/>
      <c r="G237"/>
    </row>
    <row r="238" spans="1:7" s="11" customFormat="1">
      <c r="A238"/>
      <c r="B238"/>
      <c r="D238"/>
      <c r="E238"/>
      <c r="F238"/>
      <c r="G238"/>
    </row>
    <row r="239" spans="1:7" s="11" customFormat="1">
      <c r="A239"/>
      <c r="B239"/>
      <c r="D239"/>
      <c r="E239"/>
      <c r="F239"/>
      <c r="G239"/>
    </row>
    <row r="240" spans="1:7" s="11" customFormat="1">
      <c r="A240"/>
      <c r="B240"/>
      <c r="D240"/>
      <c r="E240"/>
      <c r="F240"/>
      <c r="G240"/>
    </row>
    <row r="241" spans="1:7" s="11" customFormat="1">
      <c r="A241"/>
      <c r="B241"/>
      <c r="D241"/>
      <c r="E241"/>
      <c r="F241"/>
      <c r="G241"/>
    </row>
    <row r="242" spans="1:7" s="11" customFormat="1">
      <c r="A242"/>
      <c r="B242"/>
      <c r="D242"/>
      <c r="E242"/>
      <c r="F242"/>
      <c r="G242"/>
    </row>
    <row r="243" spans="1:7" s="11" customFormat="1">
      <c r="A243"/>
      <c r="B243"/>
      <c r="D243"/>
      <c r="E243"/>
      <c r="F243"/>
      <c r="G243"/>
    </row>
    <row r="244" spans="1:7" s="11" customFormat="1">
      <c r="A244"/>
      <c r="B244"/>
      <c r="D244"/>
      <c r="E244"/>
      <c r="F244"/>
      <c r="G244"/>
    </row>
    <row r="245" spans="1:7" s="11" customFormat="1">
      <c r="A245"/>
      <c r="B245"/>
      <c r="D245"/>
      <c r="E245"/>
      <c r="F245"/>
      <c r="G245"/>
    </row>
    <row r="246" spans="1:7" s="11" customFormat="1">
      <c r="A246"/>
      <c r="B246"/>
      <c r="D246"/>
      <c r="E246"/>
      <c r="F246"/>
      <c r="G246"/>
    </row>
    <row r="247" spans="1:7" s="11" customFormat="1">
      <c r="A247"/>
      <c r="B247"/>
      <c r="D247"/>
      <c r="E247"/>
      <c r="F247"/>
      <c r="G247"/>
    </row>
    <row r="248" spans="1:7" s="11" customFormat="1">
      <c r="A248"/>
      <c r="B248"/>
      <c r="D248"/>
      <c r="E248"/>
      <c r="F248"/>
      <c r="G248"/>
    </row>
    <row r="249" spans="1:7" s="11" customFormat="1">
      <c r="A249"/>
      <c r="B249"/>
      <c r="D249"/>
      <c r="E249"/>
      <c r="F249"/>
      <c r="G249"/>
    </row>
    <row r="250" spans="1:7" s="11" customFormat="1">
      <c r="A250"/>
      <c r="B250"/>
      <c r="D250"/>
      <c r="E250"/>
      <c r="F250"/>
      <c r="G250"/>
    </row>
    <row r="251" spans="1:7" s="11" customFormat="1">
      <c r="A251"/>
      <c r="B251"/>
      <c r="D251"/>
      <c r="E251"/>
      <c r="F251"/>
      <c r="G251"/>
    </row>
    <row r="252" spans="1:7" s="11" customFormat="1">
      <c r="A252"/>
      <c r="B252"/>
      <c r="D252"/>
      <c r="E252"/>
      <c r="F252"/>
      <c r="G252"/>
    </row>
    <row r="253" spans="1:7" s="11" customFormat="1">
      <c r="A253"/>
      <c r="B253"/>
      <c r="D253"/>
      <c r="E253"/>
      <c r="F253"/>
      <c r="G253"/>
    </row>
    <row r="254" spans="1:7" s="11" customFormat="1">
      <c r="A254"/>
      <c r="B254"/>
      <c r="D254"/>
      <c r="E254"/>
      <c r="F254"/>
      <c r="G254"/>
    </row>
    <row r="255" spans="1:7" s="11" customFormat="1">
      <c r="A255"/>
      <c r="B255"/>
      <c r="D255"/>
      <c r="E255"/>
      <c r="F255"/>
      <c r="G255"/>
    </row>
    <row r="256" spans="1:7" s="11" customFormat="1">
      <c r="A256"/>
      <c r="B256"/>
      <c r="D256"/>
      <c r="E256"/>
      <c r="F256"/>
      <c r="G256"/>
    </row>
    <row r="257" spans="1:7" s="11" customFormat="1">
      <c r="A257"/>
      <c r="B257"/>
      <c r="D257"/>
      <c r="E257"/>
      <c r="F257"/>
      <c r="G257"/>
    </row>
    <row r="258" spans="1:7" s="11" customFormat="1">
      <c r="A258"/>
      <c r="B258"/>
      <c r="D258"/>
      <c r="E258"/>
      <c r="F258"/>
      <c r="G258"/>
    </row>
    <row r="259" spans="1:7" s="11" customFormat="1">
      <c r="A259"/>
      <c r="B259"/>
      <c r="D259"/>
      <c r="E259"/>
      <c r="F259"/>
      <c r="G259"/>
    </row>
    <row r="260" spans="1:7" s="11" customFormat="1">
      <c r="A260"/>
      <c r="B260"/>
      <c r="D260"/>
      <c r="E260"/>
      <c r="F260"/>
      <c r="G260"/>
    </row>
    <row r="261" spans="1:7" s="11" customFormat="1">
      <c r="A261"/>
      <c r="B261"/>
      <c r="D261"/>
      <c r="E261"/>
      <c r="F261"/>
      <c r="G261"/>
    </row>
    <row r="262" spans="1:7" s="11" customFormat="1">
      <c r="A262"/>
      <c r="B262"/>
      <c r="D262"/>
      <c r="E262"/>
      <c r="F262"/>
      <c r="G262"/>
    </row>
    <row r="263" spans="1:7" s="11" customFormat="1">
      <c r="A263"/>
      <c r="B263"/>
      <c r="D263"/>
      <c r="E263"/>
      <c r="F263"/>
      <c r="G263"/>
    </row>
    <row r="264" spans="1:7" s="11" customFormat="1">
      <c r="A264"/>
      <c r="B264"/>
      <c r="D264"/>
      <c r="E264"/>
      <c r="F264"/>
      <c r="G264"/>
    </row>
    <row r="265" spans="1:7" s="11" customFormat="1">
      <c r="A265"/>
      <c r="B265"/>
      <c r="D265"/>
      <c r="E265"/>
      <c r="F265"/>
      <c r="G265"/>
    </row>
    <row r="266" spans="1:7" s="11" customFormat="1">
      <c r="A266"/>
      <c r="B266"/>
      <c r="D266"/>
      <c r="E266"/>
      <c r="F266"/>
      <c r="G266"/>
    </row>
    <row r="267" spans="1:7" s="11" customFormat="1">
      <c r="A267"/>
      <c r="B267"/>
      <c r="D267"/>
      <c r="E267"/>
      <c r="F267"/>
      <c r="G267"/>
    </row>
    <row r="268" spans="1:7" s="11" customFormat="1">
      <c r="A268"/>
      <c r="B268"/>
      <c r="D268"/>
      <c r="E268"/>
      <c r="F268"/>
      <c r="G268"/>
    </row>
    <row r="269" spans="1:7" s="11" customFormat="1">
      <c r="A269"/>
      <c r="B269"/>
      <c r="D269"/>
      <c r="E269"/>
      <c r="F269"/>
      <c r="G269"/>
    </row>
    <row r="270" spans="1:7" s="11" customFormat="1">
      <c r="A270"/>
      <c r="B270"/>
      <c r="D270"/>
      <c r="E270"/>
      <c r="F270"/>
      <c r="G270"/>
    </row>
    <row r="271" spans="1:7" s="11" customFormat="1">
      <c r="A271"/>
      <c r="B271"/>
      <c r="D271"/>
      <c r="E271"/>
      <c r="F271"/>
      <c r="G271"/>
    </row>
    <row r="272" spans="1:7" s="11" customFormat="1">
      <c r="A272"/>
      <c r="B272"/>
      <c r="D272"/>
      <c r="E272"/>
      <c r="F272"/>
      <c r="G272"/>
    </row>
    <row r="273" spans="1:7" s="11" customFormat="1">
      <c r="A273"/>
      <c r="B273"/>
      <c r="D273"/>
      <c r="E273"/>
      <c r="F273"/>
      <c r="G273"/>
    </row>
    <row r="274" spans="1:7" s="11" customFormat="1">
      <c r="A274"/>
      <c r="B274"/>
      <c r="D274"/>
      <c r="E274"/>
      <c r="F274"/>
      <c r="G274"/>
    </row>
    <row r="275" spans="1:7" s="11" customFormat="1">
      <c r="A275"/>
      <c r="B275"/>
      <c r="D275"/>
      <c r="E275"/>
      <c r="F275"/>
      <c r="G275"/>
    </row>
    <row r="276" spans="1:7" s="11" customFormat="1">
      <c r="A276"/>
      <c r="B276"/>
      <c r="D276"/>
      <c r="E276"/>
      <c r="F276"/>
      <c r="G276"/>
    </row>
    <row r="277" spans="1:7" s="11" customFormat="1">
      <c r="A277"/>
      <c r="B277"/>
      <c r="D277"/>
      <c r="E277"/>
      <c r="F277"/>
      <c r="G277"/>
    </row>
    <row r="278" spans="1:7" s="11" customFormat="1">
      <c r="A278"/>
      <c r="B278"/>
      <c r="D278"/>
      <c r="E278"/>
      <c r="F278"/>
      <c r="G278"/>
    </row>
    <row r="279" spans="1:7" s="11" customFormat="1">
      <c r="A279"/>
      <c r="B279"/>
      <c r="D279"/>
      <c r="E279"/>
      <c r="F279"/>
      <c r="G279"/>
    </row>
    <row r="280" spans="1:7" s="11" customFormat="1">
      <c r="A280"/>
      <c r="B280"/>
      <c r="D280"/>
      <c r="E280"/>
      <c r="F280"/>
      <c r="G280"/>
    </row>
    <row r="281" spans="1:7" s="11" customFormat="1">
      <c r="A281"/>
      <c r="B281"/>
      <c r="D281"/>
      <c r="E281"/>
      <c r="F281"/>
      <c r="G281"/>
    </row>
    <row r="282" spans="1:7" s="11" customFormat="1">
      <c r="A282"/>
      <c r="B282"/>
      <c r="D282"/>
      <c r="E282"/>
      <c r="F282"/>
      <c r="G282"/>
    </row>
    <row r="283" spans="1:7" s="11" customFormat="1">
      <c r="A283"/>
      <c r="B283"/>
      <c r="D283"/>
      <c r="E283"/>
      <c r="F283"/>
      <c r="G283"/>
    </row>
    <row r="284" spans="1:7" s="11" customFormat="1">
      <c r="A284"/>
      <c r="B284"/>
      <c r="D284"/>
      <c r="E284"/>
      <c r="F284"/>
      <c r="G284"/>
    </row>
    <row r="285" spans="1:7" s="11" customFormat="1">
      <c r="A285"/>
      <c r="B285"/>
      <c r="D285"/>
      <c r="E285"/>
      <c r="F285"/>
      <c r="G285"/>
    </row>
    <row r="286" spans="1:7" s="11" customFormat="1">
      <c r="A286"/>
      <c r="B286"/>
      <c r="D286"/>
      <c r="E286"/>
      <c r="F286"/>
      <c r="G286"/>
    </row>
    <row r="287" spans="1:7" s="11" customFormat="1">
      <c r="A287"/>
      <c r="B287"/>
      <c r="D287"/>
      <c r="E287"/>
      <c r="F287"/>
      <c r="G287"/>
    </row>
    <row r="288" spans="1:7" s="11" customFormat="1">
      <c r="A288"/>
      <c r="B288"/>
      <c r="D288"/>
      <c r="E288"/>
      <c r="F288"/>
      <c r="G288"/>
    </row>
    <row r="289" spans="1:7" s="11" customFormat="1">
      <c r="A289"/>
      <c r="B289"/>
      <c r="D289"/>
      <c r="E289"/>
      <c r="F289"/>
      <c r="G289"/>
    </row>
    <row r="290" spans="1:7" s="11" customFormat="1">
      <c r="A290"/>
      <c r="B290"/>
      <c r="D290"/>
      <c r="E290"/>
      <c r="F290"/>
      <c r="G290"/>
    </row>
    <row r="291" spans="1:7" s="11" customFormat="1">
      <c r="A291"/>
      <c r="B291"/>
      <c r="D291"/>
      <c r="E291"/>
      <c r="F291"/>
      <c r="G291"/>
    </row>
    <row r="292" spans="1:7" s="11" customFormat="1">
      <c r="A292"/>
      <c r="B292"/>
      <c r="D292"/>
      <c r="E292"/>
      <c r="F292"/>
      <c r="G292"/>
    </row>
    <row r="293" spans="1:7" s="11" customFormat="1">
      <c r="A293"/>
      <c r="B293"/>
      <c r="D293"/>
      <c r="E293"/>
      <c r="F293"/>
      <c r="G293"/>
    </row>
    <row r="294" spans="1:7" s="11" customFormat="1">
      <c r="A294"/>
      <c r="B294"/>
      <c r="D294"/>
      <c r="E294"/>
      <c r="F294"/>
      <c r="G294"/>
    </row>
    <row r="295" spans="1:7" s="11" customFormat="1">
      <c r="A295"/>
      <c r="B295"/>
      <c r="D295"/>
      <c r="E295"/>
      <c r="F295"/>
      <c r="G295"/>
    </row>
    <row r="296" spans="1:7" s="11" customFormat="1">
      <c r="A296"/>
      <c r="B296"/>
      <c r="D296"/>
      <c r="E296"/>
      <c r="F296"/>
      <c r="G296"/>
    </row>
    <row r="297" spans="1:7" s="11" customFormat="1">
      <c r="A297"/>
      <c r="B297"/>
      <c r="D297"/>
      <c r="E297"/>
      <c r="F297"/>
      <c r="G297"/>
    </row>
    <row r="298" spans="1:7" s="11" customFormat="1">
      <c r="A298"/>
      <c r="B298"/>
      <c r="D298"/>
      <c r="E298"/>
      <c r="F298"/>
      <c r="G298"/>
    </row>
    <row r="299" spans="1:7" s="11" customFormat="1">
      <c r="A299"/>
      <c r="B299"/>
      <c r="D299"/>
      <c r="E299"/>
      <c r="F299"/>
      <c r="G299"/>
    </row>
    <row r="300" spans="1:7" s="11" customFormat="1">
      <c r="A300"/>
      <c r="B300"/>
      <c r="D300"/>
      <c r="E300"/>
      <c r="F300"/>
      <c r="G300"/>
    </row>
    <row r="301" spans="1:7" s="11" customFormat="1">
      <c r="A301"/>
      <c r="B301"/>
      <c r="D301"/>
      <c r="E301"/>
      <c r="F301"/>
      <c r="G301"/>
    </row>
    <row r="302" spans="1:7" s="11" customFormat="1">
      <c r="A302"/>
      <c r="B302"/>
      <c r="D302"/>
      <c r="E302"/>
      <c r="F302"/>
      <c r="G302"/>
    </row>
    <row r="303" spans="1:7" s="11" customFormat="1">
      <c r="A303"/>
      <c r="B303"/>
      <c r="D303"/>
      <c r="E303"/>
      <c r="F303"/>
      <c r="G303"/>
    </row>
    <row r="304" spans="1:7" s="11" customFormat="1">
      <c r="A304"/>
      <c r="B304"/>
      <c r="D304"/>
      <c r="E304"/>
      <c r="F304"/>
      <c r="G304"/>
    </row>
    <row r="305" spans="1:7" s="11" customFormat="1">
      <c r="A305"/>
      <c r="B305"/>
      <c r="D305"/>
      <c r="E305"/>
      <c r="F305"/>
      <c r="G305"/>
    </row>
    <row r="306" spans="1:7" s="11" customFormat="1">
      <c r="A306"/>
      <c r="B306"/>
      <c r="D306"/>
      <c r="E306"/>
      <c r="F306"/>
      <c r="G306"/>
    </row>
    <row r="307" spans="1:7" s="11" customFormat="1">
      <c r="A307"/>
      <c r="B307"/>
      <c r="D307"/>
      <c r="E307"/>
      <c r="F307"/>
      <c r="G307"/>
    </row>
    <row r="308" spans="1:7" s="11" customFormat="1">
      <c r="A308"/>
      <c r="B308"/>
      <c r="D308"/>
      <c r="E308"/>
      <c r="F308"/>
      <c r="G308"/>
    </row>
    <row r="309" spans="1:7" s="11" customFormat="1">
      <c r="A309"/>
      <c r="B309"/>
      <c r="D309"/>
      <c r="E309"/>
      <c r="F309"/>
      <c r="G309"/>
    </row>
    <row r="310" spans="1:7" s="11" customFormat="1">
      <c r="A310"/>
      <c r="B310"/>
      <c r="D310"/>
      <c r="E310"/>
      <c r="F310"/>
      <c r="G310"/>
    </row>
    <row r="311" spans="1:7" s="11" customFormat="1">
      <c r="A311"/>
      <c r="B311"/>
      <c r="D311"/>
      <c r="E311"/>
      <c r="F311"/>
      <c r="G311"/>
    </row>
    <row r="312" spans="1:7" s="11" customFormat="1">
      <c r="A312"/>
      <c r="B312"/>
      <c r="D312"/>
      <c r="E312"/>
      <c r="F312"/>
      <c r="G312"/>
    </row>
    <row r="313" spans="1:7" s="11" customFormat="1">
      <c r="A313"/>
      <c r="B313"/>
      <c r="D313"/>
      <c r="E313"/>
      <c r="F313"/>
      <c r="G313"/>
    </row>
    <row r="314" spans="1:7" s="11" customFormat="1">
      <c r="A314"/>
      <c r="B314"/>
      <c r="D314"/>
      <c r="E314"/>
      <c r="F314"/>
      <c r="G314"/>
    </row>
    <row r="315" spans="1:7" s="11" customFormat="1">
      <c r="A315"/>
      <c r="B315"/>
      <c r="D315"/>
      <c r="E315"/>
      <c r="F315"/>
      <c r="G315"/>
    </row>
    <row r="316" spans="1:7" s="11" customFormat="1">
      <c r="A316"/>
      <c r="B316"/>
      <c r="D316"/>
      <c r="E316"/>
      <c r="F316"/>
      <c r="G316"/>
    </row>
    <row r="317" spans="1:7" s="11" customFormat="1">
      <c r="A317"/>
      <c r="B317"/>
      <c r="D317"/>
      <c r="E317"/>
      <c r="F317"/>
      <c r="G317"/>
    </row>
    <row r="318" spans="1:7" s="11" customFormat="1">
      <c r="A318"/>
      <c r="B318"/>
      <c r="D318"/>
      <c r="E318"/>
      <c r="F318"/>
      <c r="G318"/>
    </row>
    <row r="319" spans="1:7" s="11" customFormat="1">
      <c r="A319"/>
      <c r="B319"/>
      <c r="D319"/>
      <c r="E319"/>
      <c r="F319"/>
      <c r="G319"/>
    </row>
    <row r="320" spans="1:7" s="11" customFormat="1">
      <c r="A320"/>
      <c r="B320"/>
      <c r="D320"/>
      <c r="E320"/>
      <c r="F320"/>
      <c r="G320"/>
    </row>
    <row r="321" spans="1:7" s="11" customFormat="1">
      <c r="A321"/>
      <c r="B321"/>
      <c r="D321"/>
      <c r="E321"/>
      <c r="F321"/>
      <c r="G321"/>
    </row>
    <row r="322" spans="1:7" s="11" customFormat="1">
      <c r="A322"/>
      <c r="B322"/>
      <c r="D322"/>
      <c r="E322"/>
      <c r="F322"/>
      <c r="G322"/>
    </row>
    <row r="323" spans="1:7" s="11" customFormat="1">
      <c r="A323"/>
      <c r="B323"/>
      <c r="D323"/>
      <c r="E323"/>
      <c r="F323"/>
      <c r="G323"/>
    </row>
    <row r="324" spans="1:7" s="11" customFormat="1">
      <c r="A324"/>
      <c r="B324"/>
      <c r="D324"/>
      <c r="E324"/>
      <c r="F324"/>
      <c r="G324"/>
    </row>
    <row r="325" spans="1:7" s="11" customFormat="1">
      <c r="A325"/>
      <c r="B325"/>
      <c r="D325"/>
      <c r="E325"/>
      <c r="F325"/>
      <c r="G325"/>
    </row>
    <row r="326" spans="1:7" s="11" customFormat="1">
      <c r="A326"/>
      <c r="B326"/>
      <c r="D326"/>
      <c r="E326"/>
      <c r="F326"/>
      <c r="G326"/>
    </row>
    <row r="327" spans="1:7" s="11" customFormat="1">
      <c r="A327"/>
      <c r="B327"/>
      <c r="D327"/>
      <c r="E327"/>
      <c r="F327"/>
      <c r="G327"/>
    </row>
    <row r="328" spans="1:7" s="11" customFormat="1">
      <c r="A328"/>
      <c r="B328"/>
      <c r="D328"/>
      <c r="E328"/>
      <c r="F328"/>
      <c r="G328"/>
    </row>
    <row r="329" spans="1:7" s="11" customFormat="1">
      <c r="A329"/>
      <c r="B329"/>
      <c r="D329"/>
      <c r="E329"/>
      <c r="F329"/>
      <c r="G329"/>
    </row>
    <row r="330" spans="1:7" s="11" customFormat="1">
      <c r="A330"/>
      <c r="B330"/>
      <c r="D330"/>
      <c r="E330"/>
      <c r="F330"/>
      <c r="G330"/>
    </row>
    <row r="331" spans="1:7" s="11" customFormat="1">
      <c r="A331"/>
      <c r="B331"/>
      <c r="D331"/>
      <c r="E331"/>
      <c r="F331"/>
      <c r="G331"/>
    </row>
    <row r="332" spans="1:7" s="11" customFormat="1">
      <c r="A332"/>
      <c r="B332"/>
      <c r="D332"/>
      <c r="E332"/>
      <c r="F332"/>
      <c r="G332"/>
    </row>
    <row r="333" spans="1:7" s="11" customFormat="1">
      <c r="A333"/>
      <c r="B333"/>
      <c r="D333"/>
      <c r="E333"/>
      <c r="F333"/>
      <c r="G333"/>
    </row>
    <row r="334" spans="1:7" s="11" customFormat="1">
      <c r="A334"/>
      <c r="B334"/>
      <c r="D334"/>
      <c r="E334"/>
      <c r="F334"/>
      <c r="G334"/>
    </row>
    <row r="335" spans="1:7" s="11" customFormat="1">
      <c r="A335"/>
      <c r="B335"/>
      <c r="D335"/>
      <c r="E335"/>
      <c r="F335"/>
      <c r="G335"/>
    </row>
    <row r="336" spans="1:7" s="11" customFormat="1">
      <c r="A336"/>
      <c r="B336"/>
      <c r="D336"/>
      <c r="E336"/>
      <c r="F336"/>
      <c r="G336"/>
    </row>
    <row r="337" spans="1:7" s="11" customFormat="1">
      <c r="A337"/>
      <c r="B337"/>
      <c r="D337"/>
      <c r="E337"/>
      <c r="F337"/>
      <c r="G337"/>
    </row>
    <row r="338" spans="1:7" s="11" customFormat="1">
      <c r="A338"/>
      <c r="B338"/>
      <c r="D338"/>
      <c r="E338"/>
      <c r="F338"/>
      <c r="G338"/>
    </row>
    <row r="339" spans="1:7" s="11" customFormat="1">
      <c r="A339"/>
      <c r="B339"/>
      <c r="D339"/>
      <c r="E339"/>
      <c r="F339"/>
      <c r="G339"/>
    </row>
    <row r="340" spans="1:7" s="11" customFormat="1">
      <c r="A340"/>
      <c r="B340"/>
      <c r="D340"/>
      <c r="E340"/>
      <c r="F340"/>
      <c r="G340"/>
    </row>
    <row r="341" spans="1:7" s="11" customFormat="1">
      <c r="A341"/>
      <c r="B341"/>
      <c r="D341"/>
      <c r="E341"/>
      <c r="F341"/>
      <c r="G341"/>
    </row>
    <row r="342" spans="1:7" s="11" customFormat="1">
      <c r="A342"/>
      <c r="B342"/>
      <c r="D342"/>
      <c r="E342"/>
      <c r="F342"/>
      <c r="G342"/>
    </row>
    <row r="343" spans="1:7" s="11" customFormat="1">
      <c r="A343"/>
      <c r="B343"/>
      <c r="D343"/>
      <c r="E343"/>
      <c r="F343"/>
      <c r="G343"/>
    </row>
    <row r="344" spans="1:7" s="11" customFormat="1">
      <c r="A344"/>
      <c r="B344"/>
      <c r="D344"/>
      <c r="E344"/>
      <c r="F344"/>
      <c r="G344"/>
    </row>
    <row r="345" spans="1:7" s="11" customFormat="1">
      <c r="A345"/>
      <c r="B345"/>
      <c r="D345"/>
      <c r="E345"/>
      <c r="F345"/>
      <c r="G345"/>
    </row>
    <row r="346" spans="1:7" s="11" customFormat="1">
      <c r="A346"/>
      <c r="B346"/>
      <c r="D346"/>
      <c r="E346"/>
      <c r="F346"/>
      <c r="G346"/>
    </row>
    <row r="347" spans="1:7" s="11" customFormat="1">
      <c r="A347"/>
      <c r="B347"/>
      <c r="D347"/>
      <c r="E347"/>
      <c r="F347"/>
      <c r="G347"/>
    </row>
    <row r="348" spans="1:7" s="11" customFormat="1">
      <c r="A348"/>
      <c r="B348"/>
      <c r="D348"/>
      <c r="E348"/>
      <c r="F348"/>
      <c r="G348"/>
    </row>
    <row r="349" spans="1:7" s="11" customFormat="1">
      <c r="A349"/>
      <c r="B349"/>
      <c r="D349"/>
      <c r="E349"/>
      <c r="F349"/>
      <c r="G349"/>
    </row>
    <row r="350" spans="1:7" s="11" customFormat="1">
      <c r="A350"/>
      <c r="B350"/>
      <c r="D350"/>
      <c r="E350"/>
      <c r="F350"/>
      <c r="G350"/>
    </row>
    <row r="351" spans="1:7" s="11" customFormat="1">
      <c r="A351"/>
      <c r="B351"/>
      <c r="D351"/>
      <c r="E351"/>
      <c r="F351"/>
      <c r="G351"/>
    </row>
    <row r="352" spans="1:7" s="11" customFormat="1">
      <c r="A352"/>
      <c r="B352"/>
      <c r="D352"/>
      <c r="E352"/>
      <c r="F352"/>
      <c r="G352"/>
    </row>
    <row r="353" spans="1:7" s="11" customFormat="1">
      <c r="A353"/>
      <c r="B353"/>
      <c r="D353"/>
      <c r="E353"/>
      <c r="F353"/>
      <c r="G353"/>
    </row>
    <row r="354" spans="1:7" s="11" customFormat="1">
      <c r="A354"/>
      <c r="B354"/>
      <c r="D354"/>
      <c r="E354"/>
      <c r="F354"/>
      <c r="G354"/>
    </row>
    <row r="355" spans="1:7" s="11" customFormat="1">
      <c r="A355"/>
      <c r="B355"/>
      <c r="D355"/>
      <c r="E355"/>
      <c r="F355"/>
      <c r="G355"/>
    </row>
    <row r="356" spans="1:7" s="11" customFormat="1">
      <c r="A356"/>
      <c r="B356"/>
      <c r="D356"/>
      <c r="E356"/>
      <c r="F356"/>
      <c r="G356"/>
    </row>
    <row r="357" spans="1:7" s="11" customFormat="1">
      <c r="A357"/>
      <c r="B357"/>
      <c r="D357"/>
      <c r="E357"/>
      <c r="F357"/>
      <c r="G357"/>
    </row>
    <row r="358" spans="1:7" s="11" customFormat="1">
      <c r="A358"/>
      <c r="B358"/>
      <c r="D358"/>
      <c r="E358"/>
      <c r="F358"/>
      <c r="G358"/>
    </row>
    <row r="359" spans="1:7" s="11" customFormat="1">
      <c r="A359"/>
      <c r="B359"/>
      <c r="D359"/>
      <c r="E359"/>
      <c r="F359"/>
      <c r="G359"/>
    </row>
    <row r="360" spans="1:7" s="11" customFormat="1">
      <c r="A360"/>
      <c r="B360"/>
      <c r="D360"/>
      <c r="E360"/>
      <c r="F360"/>
      <c r="G360"/>
    </row>
    <row r="361" spans="1:7" s="11" customFormat="1">
      <c r="A361"/>
      <c r="B361"/>
      <c r="D361"/>
      <c r="E361"/>
      <c r="F361"/>
      <c r="G361"/>
    </row>
    <row r="362" spans="1:7" s="11" customFormat="1">
      <c r="A362"/>
      <c r="B362"/>
      <c r="D362"/>
      <c r="E362"/>
      <c r="F362"/>
      <c r="G362"/>
    </row>
    <row r="363" spans="1:7" s="11" customFormat="1">
      <c r="A363"/>
      <c r="B363"/>
      <c r="D363"/>
      <c r="E363"/>
      <c r="F363"/>
      <c r="G363"/>
    </row>
    <row r="364" spans="1:7" s="11" customFormat="1">
      <c r="A364"/>
      <c r="B364"/>
      <c r="D364"/>
      <c r="E364"/>
      <c r="F364"/>
      <c r="G364"/>
    </row>
    <row r="365" spans="1:7" s="11" customFormat="1">
      <c r="A365"/>
      <c r="B365"/>
      <c r="D365"/>
      <c r="E365"/>
      <c r="F365"/>
      <c r="G365"/>
    </row>
    <row r="366" spans="1:7" s="11" customFormat="1">
      <c r="A366"/>
      <c r="B366"/>
      <c r="D366"/>
      <c r="E366"/>
      <c r="F366"/>
      <c r="G366"/>
    </row>
    <row r="367" spans="1:7" s="11" customFormat="1">
      <c r="A367"/>
      <c r="B367"/>
      <c r="D367"/>
      <c r="E367"/>
      <c r="F367"/>
      <c r="G367"/>
    </row>
    <row r="368" spans="1:7" s="11" customFormat="1">
      <c r="A368"/>
      <c r="B368"/>
      <c r="D368"/>
      <c r="E368"/>
      <c r="F368"/>
      <c r="G368"/>
    </row>
    <row r="369" spans="1:7" s="11" customFormat="1">
      <c r="A369"/>
      <c r="B369"/>
      <c r="D369"/>
      <c r="E369"/>
      <c r="F369"/>
      <c r="G369"/>
    </row>
    <row r="370" spans="1:7" s="11" customFormat="1">
      <c r="A370"/>
      <c r="B370"/>
      <c r="D370"/>
      <c r="E370"/>
      <c r="F370"/>
      <c r="G370"/>
    </row>
    <row r="371" spans="1:7" s="11" customFormat="1">
      <c r="A371"/>
      <c r="B371"/>
      <c r="D371"/>
      <c r="E371"/>
      <c r="F371"/>
      <c r="G371"/>
    </row>
    <row r="372" spans="1:7" s="11" customFormat="1">
      <c r="A372"/>
      <c r="B372"/>
      <c r="D372"/>
      <c r="E372"/>
      <c r="F372"/>
      <c r="G372"/>
    </row>
    <row r="373" spans="1:7" s="11" customFormat="1">
      <c r="A373"/>
      <c r="B373"/>
      <c r="D373"/>
      <c r="E373"/>
      <c r="F373"/>
      <c r="G373"/>
    </row>
    <row r="374" spans="1:7" s="11" customFormat="1">
      <c r="A374"/>
      <c r="B374"/>
      <c r="D374"/>
      <c r="E374"/>
      <c r="F374"/>
      <c r="G374"/>
    </row>
    <row r="375" spans="1:7" s="11" customFormat="1">
      <c r="A375"/>
      <c r="B375"/>
      <c r="D375"/>
      <c r="E375"/>
      <c r="F375"/>
      <c r="G375"/>
    </row>
    <row r="376" spans="1:7" s="11" customFormat="1">
      <c r="A376"/>
      <c r="B376"/>
      <c r="D376"/>
      <c r="E376"/>
      <c r="F376"/>
      <c r="G376"/>
    </row>
    <row r="377" spans="1:7" s="11" customFormat="1">
      <c r="A377"/>
      <c r="B377"/>
      <c r="D377"/>
      <c r="E377"/>
      <c r="F377"/>
      <c r="G377"/>
    </row>
    <row r="378" spans="1:7" s="11" customFormat="1">
      <c r="A378"/>
      <c r="B378"/>
      <c r="D378"/>
      <c r="E378"/>
      <c r="F378"/>
      <c r="G378"/>
    </row>
    <row r="379" spans="1:7" s="11" customFormat="1">
      <c r="A379"/>
      <c r="B379"/>
      <c r="D379"/>
      <c r="E379"/>
      <c r="F379"/>
      <c r="G379"/>
    </row>
    <row r="380" spans="1:7" s="11" customFormat="1">
      <c r="A380"/>
      <c r="B380"/>
      <c r="D380"/>
      <c r="E380"/>
      <c r="F380"/>
      <c r="G380"/>
    </row>
    <row r="381" spans="1:7" s="11" customFormat="1">
      <c r="A381"/>
      <c r="B381"/>
      <c r="D381"/>
      <c r="E381"/>
      <c r="F381"/>
      <c r="G381"/>
    </row>
    <row r="382" spans="1:7" s="11" customFormat="1">
      <c r="A382"/>
      <c r="B382"/>
      <c r="D382"/>
      <c r="E382"/>
      <c r="F382"/>
      <c r="G382"/>
    </row>
    <row r="383" spans="1:7" s="11" customFormat="1">
      <c r="A383"/>
      <c r="B383"/>
      <c r="D383"/>
      <c r="E383"/>
      <c r="F383"/>
      <c r="G383"/>
    </row>
    <row r="384" spans="1:7" s="11" customFormat="1">
      <c r="A384"/>
      <c r="B384"/>
      <c r="D384"/>
      <c r="E384"/>
      <c r="F384"/>
      <c r="G384"/>
    </row>
    <row r="385" spans="1:7" s="11" customFormat="1">
      <c r="A385"/>
      <c r="B385"/>
      <c r="D385"/>
      <c r="E385"/>
      <c r="F385"/>
      <c r="G385"/>
    </row>
    <row r="386" spans="1:7" s="11" customFormat="1">
      <c r="A386"/>
      <c r="B386"/>
      <c r="D386"/>
      <c r="E386"/>
      <c r="F386"/>
      <c r="G386"/>
    </row>
    <row r="387" spans="1:7" s="11" customFormat="1">
      <c r="A387"/>
      <c r="B387"/>
      <c r="D387"/>
      <c r="E387"/>
      <c r="F387"/>
      <c r="G387"/>
    </row>
    <row r="388" spans="1:7" s="11" customFormat="1">
      <c r="A388"/>
      <c r="B388"/>
      <c r="D388"/>
      <c r="E388"/>
      <c r="F388"/>
      <c r="G388"/>
    </row>
    <row r="389" spans="1:7" s="11" customFormat="1">
      <c r="A389"/>
      <c r="B389"/>
      <c r="D389"/>
      <c r="E389"/>
      <c r="F389"/>
      <c r="G389"/>
    </row>
    <row r="390" spans="1:7" s="11" customFormat="1">
      <c r="A390"/>
      <c r="B390"/>
      <c r="D390"/>
      <c r="E390"/>
      <c r="F390"/>
      <c r="G390"/>
    </row>
    <row r="391" spans="1:7" s="11" customFormat="1">
      <c r="A391"/>
      <c r="B391"/>
      <c r="D391"/>
      <c r="E391"/>
      <c r="F391"/>
      <c r="G391"/>
    </row>
    <row r="392" spans="1:7" s="11" customFormat="1">
      <c r="A392"/>
      <c r="B392"/>
      <c r="D392"/>
      <c r="E392"/>
      <c r="F392"/>
      <c r="G392"/>
    </row>
    <row r="393" spans="1:7" s="11" customFormat="1">
      <c r="A393"/>
      <c r="B393"/>
      <c r="D393"/>
      <c r="E393"/>
      <c r="F393"/>
      <c r="G393"/>
    </row>
    <row r="394" spans="1:7" s="11" customFormat="1">
      <c r="A394"/>
      <c r="B394"/>
      <c r="D394"/>
      <c r="E394"/>
      <c r="F394"/>
      <c r="G394"/>
    </row>
    <row r="395" spans="1:7" s="11" customFormat="1">
      <c r="A395"/>
      <c r="B395"/>
      <c r="D395"/>
      <c r="E395"/>
      <c r="F395"/>
      <c r="G395"/>
    </row>
    <row r="396" spans="1:7" s="11" customFormat="1">
      <c r="A396"/>
      <c r="B396"/>
      <c r="D396"/>
      <c r="E396"/>
      <c r="F396"/>
      <c r="G396"/>
    </row>
    <row r="397" spans="1:7" s="11" customFormat="1">
      <c r="A397"/>
      <c r="B397"/>
      <c r="D397"/>
      <c r="E397"/>
      <c r="F397"/>
      <c r="G397"/>
    </row>
    <row r="398" spans="1:7" s="11" customFormat="1">
      <c r="A398"/>
      <c r="B398"/>
      <c r="D398"/>
      <c r="E398"/>
      <c r="F398"/>
      <c r="G398"/>
    </row>
    <row r="399" spans="1:7" s="11" customFormat="1">
      <c r="A399"/>
      <c r="B399"/>
      <c r="D399"/>
      <c r="E399"/>
      <c r="F399"/>
      <c r="G399"/>
    </row>
    <row r="400" spans="1:7" s="11" customFormat="1">
      <c r="A400"/>
      <c r="B400"/>
      <c r="D400"/>
      <c r="E400"/>
      <c r="F400"/>
      <c r="G400"/>
    </row>
    <row r="401" spans="1:7" s="11" customFormat="1">
      <c r="A401"/>
      <c r="B401"/>
      <c r="D401"/>
      <c r="E401"/>
      <c r="F401"/>
      <c r="G401"/>
    </row>
    <row r="402" spans="1:7" s="11" customFormat="1">
      <c r="A402"/>
      <c r="B402"/>
      <c r="D402"/>
      <c r="E402"/>
      <c r="F402"/>
      <c r="G402"/>
    </row>
    <row r="403" spans="1:7" s="11" customFormat="1">
      <c r="A403"/>
      <c r="B403"/>
      <c r="D403"/>
      <c r="E403"/>
      <c r="F403"/>
      <c r="G403"/>
    </row>
    <row r="404" spans="1:7" s="11" customFormat="1">
      <c r="A404"/>
      <c r="B404"/>
      <c r="D404"/>
      <c r="E404"/>
      <c r="F404"/>
      <c r="G404"/>
    </row>
    <row r="405" spans="1:7" s="11" customFormat="1">
      <c r="A405"/>
      <c r="B405"/>
      <c r="D405"/>
      <c r="E405"/>
      <c r="F405"/>
      <c r="G405"/>
    </row>
    <row r="406" spans="1:7" s="11" customFormat="1">
      <c r="A406"/>
      <c r="B406"/>
      <c r="D406"/>
      <c r="E406"/>
      <c r="F406"/>
      <c r="G406"/>
    </row>
    <row r="407" spans="1:7" s="11" customFormat="1">
      <c r="A407"/>
      <c r="B407"/>
      <c r="D407"/>
      <c r="E407"/>
      <c r="F407"/>
      <c r="G407"/>
    </row>
    <row r="408" spans="1:7" s="11" customFormat="1">
      <c r="A408"/>
      <c r="B408"/>
      <c r="D408"/>
      <c r="E408"/>
      <c r="F408"/>
      <c r="G408"/>
    </row>
    <row r="409" spans="1:7" s="11" customFormat="1">
      <c r="A409"/>
      <c r="B409"/>
      <c r="D409"/>
      <c r="E409"/>
      <c r="F409"/>
      <c r="G409"/>
    </row>
    <row r="410" spans="1:7" s="11" customFormat="1">
      <c r="A410"/>
      <c r="B410"/>
      <c r="D410"/>
      <c r="E410"/>
      <c r="F410"/>
      <c r="G410"/>
    </row>
    <row r="411" spans="1:7" s="11" customFormat="1">
      <c r="A411"/>
      <c r="B411"/>
      <c r="D411"/>
      <c r="E411"/>
      <c r="F411"/>
      <c r="G411"/>
    </row>
    <row r="412" spans="1:7" s="11" customFormat="1">
      <c r="A412"/>
      <c r="B412"/>
      <c r="D412"/>
      <c r="E412"/>
      <c r="F412"/>
      <c r="G412"/>
    </row>
    <row r="413" spans="1:7" s="11" customFormat="1">
      <c r="A413"/>
      <c r="B413"/>
      <c r="D413"/>
      <c r="E413"/>
      <c r="F413"/>
      <c r="G413"/>
    </row>
    <row r="414" spans="1:7" s="11" customFormat="1">
      <c r="A414"/>
      <c r="B414"/>
      <c r="D414"/>
      <c r="E414"/>
      <c r="F414"/>
      <c r="G414"/>
    </row>
    <row r="415" spans="1:7" s="11" customFormat="1">
      <c r="A415"/>
      <c r="B415"/>
      <c r="D415"/>
      <c r="E415"/>
      <c r="F415"/>
      <c r="G415"/>
    </row>
    <row r="416" spans="1:7" s="11" customFormat="1">
      <c r="A416"/>
      <c r="B416"/>
      <c r="D416"/>
      <c r="E416"/>
      <c r="F416"/>
      <c r="G416"/>
    </row>
    <row r="417" spans="1:7" s="11" customFormat="1">
      <c r="A417"/>
      <c r="B417"/>
      <c r="D417"/>
      <c r="E417"/>
      <c r="F417"/>
      <c r="G417"/>
    </row>
    <row r="418" spans="1:7" s="11" customFormat="1">
      <c r="A418"/>
      <c r="B418"/>
      <c r="D418"/>
      <c r="E418"/>
      <c r="F418"/>
      <c r="G418"/>
    </row>
    <row r="419" spans="1:7" s="11" customFormat="1">
      <c r="A419"/>
      <c r="B419"/>
      <c r="D419"/>
      <c r="E419"/>
      <c r="F419"/>
      <c r="G419"/>
    </row>
    <row r="420" spans="1:7" s="11" customFormat="1">
      <c r="A420"/>
      <c r="B420"/>
      <c r="D420"/>
      <c r="E420"/>
      <c r="F420"/>
      <c r="G420"/>
    </row>
    <row r="421" spans="1:7" s="11" customFormat="1">
      <c r="A421"/>
      <c r="B421"/>
      <c r="D421"/>
      <c r="E421"/>
      <c r="F421"/>
      <c r="G421"/>
    </row>
    <row r="422" spans="1:7" s="11" customFormat="1">
      <c r="A422"/>
      <c r="B422"/>
      <c r="D422"/>
      <c r="E422"/>
      <c r="F422"/>
      <c r="G422"/>
    </row>
    <row r="423" spans="1:7" s="11" customFormat="1">
      <c r="A423"/>
      <c r="B423"/>
      <c r="D423"/>
      <c r="E423"/>
      <c r="F423"/>
      <c r="G423"/>
    </row>
    <row r="424" spans="1:7" s="11" customFormat="1">
      <c r="A424"/>
      <c r="B424"/>
      <c r="D424"/>
      <c r="E424"/>
      <c r="F424"/>
      <c r="G424"/>
    </row>
    <row r="425" spans="1:7" s="11" customFormat="1">
      <c r="A425"/>
      <c r="B425"/>
      <c r="D425"/>
      <c r="E425"/>
      <c r="F425"/>
      <c r="G425"/>
    </row>
    <row r="426" spans="1:7" s="11" customFormat="1">
      <c r="A426"/>
      <c r="B426"/>
      <c r="D426"/>
      <c r="E426"/>
      <c r="F426"/>
      <c r="G426"/>
    </row>
    <row r="427" spans="1:7" s="11" customFormat="1">
      <c r="A427"/>
      <c r="B427"/>
      <c r="D427"/>
      <c r="E427"/>
      <c r="F427"/>
      <c r="G427"/>
    </row>
    <row r="428" spans="1:7" s="11" customFormat="1">
      <c r="A428"/>
      <c r="B428"/>
      <c r="D428"/>
      <c r="E428"/>
      <c r="F428"/>
      <c r="G428"/>
    </row>
    <row r="429" spans="1:7" s="11" customFormat="1">
      <c r="A429"/>
      <c r="B429"/>
      <c r="D429"/>
      <c r="E429"/>
      <c r="F429"/>
      <c r="G429"/>
    </row>
    <row r="430" spans="1:7" s="11" customFormat="1">
      <c r="A430"/>
      <c r="B430"/>
      <c r="D430"/>
      <c r="E430"/>
      <c r="F430"/>
      <c r="G430"/>
    </row>
    <row r="431" spans="1:7" s="11" customFormat="1">
      <c r="A431"/>
      <c r="B431"/>
      <c r="D431"/>
      <c r="E431"/>
      <c r="F431"/>
      <c r="G431"/>
    </row>
    <row r="432" spans="1:7" s="11" customFormat="1">
      <c r="A432"/>
      <c r="B432"/>
      <c r="D432"/>
      <c r="E432"/>
      <c r="F432"/>
      <c r="G432"/>
    </row>
    <row r="433" spans="1:7" s="11" customFormat="1">
      <c r="A433"/>
      <c r="B433"/>
      <c r="D433"/>
      <c r="E433"/>
      <c r="F433"/>
      <c r="G433"/>
    </row>
    <row r="434" spans="1:7" s="11" customFormat="1">
      <c r="A434"/>
      <c r="B434"/>
      <c r="D434"/>
      <c r="E434"/>
      <c r="F434"/>
      <c r="G434"/>
    </row>
    <row r="435" spans="1:7" s="11" customFormat="1">
      <c r="A435"/>
      <c r="B435"/>
      <c r="D435"/>
      <c r="E435"/>
      <c r="F435"/>
      <c r="G435"/>
    </row>
    <row r="436" spans="1:7" s="11" customFormat="1">
      <c r="A436"/>
      <c r="B436"/>
      <c r="D436"/>
      <c r="E436"/>
      <c r="F436"/>
      <c r="G436"/>
    </row>
    <row r="437" spans="1:7" s="11" customFormat="1">
      <c r="A437"/>
      <c r="B437"/>
      <c r="D437"/>
      <c r="E437"/>
      <c r="F437"/>
      <c r="G437"/>
    </row>
    <row r="438" spans="1:7" s="11" customFormat="1">
      <c r="A438"/>
      <c r="B438"/>
      <c r="D438"/>
      <c r="E438"/>
      <c r="F438"/>
      <c r="G438"/>
    </row>
    <row r="439" spans="1:7" s="11" customFormat="1">
      <c r="A439"/>
      <c r="B439"/>
      <c r="D439"/>
      <c r="E439"/>
      <c r="F439"/>
      <c r="G439"/>
    </row>
    <row r="440" spans="1:7" s="11" customFormat="1">
      <c r="A440"/>
      <c r="B440"/>
      <c r="D440"/>
      <c r="E440"/>
      <c r="F440"/>
      <c r="G440"/>
    </row>
    <row r="441" spans="1:7" s="11" customFormat="1">
      <c r="A441"/>
      <c r="B441"/>
      <c r="D441"/>
      <c r="E441"/>
      <c r="F441"/>
      <c r="G441"/>
    </row>
    <row r="442" spans="1:7" s="11" customFormat="1">
      <c r="A442"/>
      <c r="B442"/>
      <c r="D442"/>
      <c r="E442"/>
      <c r="F442"/>
      <c r="G442"/>
    </row>
    <row r="443" spans="1:7" s="11" customFormat="1">
      <c r="A443"/>
      <c r="B443"/>
      <c r="D443"/>
      <c r="E443"/>
      <c r="F443"/>
      <c r="G443"/>
    </row>
    <row r="444" spans="1:7" s="11" customFormat="1">
      <c r="A444"/>
      <c r="B444"/>
      <c r="D444"/>
      <c r="E444"/>
      <c r="F444"/>
      <c r="G444"/>
    </row>
    <row r="445" spans="1:7" s="11" customFormat="1">
      <c r="A445"/>
      <c r="B445"/>
      <c r="D445"/>
      <c r="E445"/>
      <c r="F445"/>
      <c r="G445"/>
    </row>
    <row r="446" spans="1:7" s="11" customFormat="1">
      <c r="A446"/>
      <c r="B446"/>
      <c r="D446"/>
      <c r="E446"/>
      <c r="F446"/>
      <c r="G446"/>
    </row>
    <row r="447" spans="1:7" s="11" customFormat="1">
      <c r="A447"/>
      <c r="B447"/>
      <c r="D447"/>
      <c r="E447"/>
      <c r="F447"/>
      <c r="G447"/>
    </row>
    <row r="448" spans="1:7" s="11" customFormat="1">
      <c r="A448"/>
      <c r="B448"/>
      <c r="D448"/>
      <c r="E448"/>
      <c r="F448"/>
      <c r="G448"/>
    </row>
    <row r="449" spans="1:7" s="11" customFormat="1">
      <c r="A449"/>
      <c r="B449"/>
      <c r="D449"/>
      <c r="E449"/>
      <c r="F449"/>
      <c r="G449"/>
    </row>
    <row r="450" spans="1:7" s="11" customFormat="1">
      <c r="A450"/>
      <c r="B450"/>
      <c r="D450"/>
      <c r="E450"/>
      <c r="F450"/>
      <c r="G450"/>
    </row>
    <row r="451" spans="1:7" s="11" customFormat="1">
      <c r="A451"/>
      <c r="B451"/>
      <c r="D451"/>
      <c r="E451"/>
      <c r="F451"/>
      <c r="G451"/>
    </row>
    <row r="452" spans="1:7" s="11" customFormat="1">
      <c r="A452"/>
      <c r="B452"/>
      <c r="D452"/>
      <c r="E452"/>
      <c r="F452"/>
      <c r="G452"/>
    </row>
    <row r="453" spans="1:7" s="11" customFormat="1">
      <c r="A453"/>
      <c r="B453"/>
      <c r="D453"/>
      <c r="E453"/>
      <c r="F453"/>
      <c r="G453"/>
    </row>
    <row r="454" spans="1:7" s="11" customFormat="1">
      <c r="A454"/>
      <c r="B454"/>
      <c r="D454"/>
      <c r="E454"/>
      <c r="F454"/>
      <c r="G454"/>
    </row>
    <row r="455" spans="1:7" s="11" customFormat="1">
      <c r="A455"/>
      <c r="B455"/>
      <c r="D455"/>
      <c r="E455"/>
      <c r="F455"/>
      <c r="G455"/>
    </row>
    <row r="456" spans="1:7" s="11" customFormat="1">
      <c r="A456"/>
      <c r="B456"/>
      <c r="D456"/>
      <c r="E456"/>
      <c r="F456"/>
      <c r="G456"/>
    </row>
    <row r="457" spans="1:7" s="11" customFormat="1">
      <c r="A457"/>
      <c r="B457"/>
      <c r="D457"/>
      <c r="E457"/>
      <c r="F457"/>
      <c r="G457"/>
    </row>
    <row r="458" spans="1:7" s="11" customFormat="1">
      <c r="A458"/>
      <c r="B458"/>
      <c r="D458"/>
      <c r="E458"/>
      <c r="F458"/>
      <c r="G458"/>
    </row>
    <row r="459" spans="1:7" s="11" customFormat="1">
      <c r="A459"/>
      <c r="B459"/>
      <c r="D459"/>
      <c r="E459"/>
      <c r="F459"/>
      <c r="G459"/>
    </row>
    <row r="460" spans="1:7" s="11" customFormat="1">
      <c r="A460"/>
      <c r="B460"/>
      <c r="D460"/>
      <c r="E460"/>
      <c r="F460"/>
      <c r="G460"/>
    </row>
    <row r="461" spans="1:7" s="11" customFormat="1">
      <c r="A461"/>
      <c r="B461"/>
      <c r="D461"/>
      <c r="E461"/>
      <c r="F461"/>
      <c r="G461"/>
    </row>
    <row r="462" spans="1:7" s="11" customFormat="1">
      <c r="A462"/>
      <c r="B462"/>
      <c r="D462"/>
      <c r="E462"/>
      <c r="F462"/>
      <c r="G462"/>
    </row>
    <row r="463" spans="1:7" s="11" customFormat="1">
      <c r="A463"/>
      <c r="B463"/>
      <c r="D463"/>
      <c r="E463"/>
      <c r="F463"/>
      <c r="G463"/>
    </row>
    <row r="464" spans="1:7" s="11" customFormat="1">
      <c r="A464"/>
      <c r="B464"/>
      <c r="D464"/>
      <c r="E464"/>
      <c r="F464"/>
      <c r="G464"/>
    </row>
    <row r="465" spans="1:7" s="11" customFormat="1">
      <c r="A465"/>
      <c r="B465"/>
      <c r="D465"/>
      <c r="E465"/>
      <c r="F465"/>
      <c r="G465"/>
    </row>
    <row r="466" spans="1:7" s="11" customFormat="1">
      <c r="A466"/>
      <c r="B466"/>
      <c r="D466"/>
      <c r="E466"/>
      <c r="F466"/>
      <c r="G466"/>
    </row>
    <row r="467" spans="1:7" s="11" customFormat="1">
      <c r="A467"/>
      <c r="B467"/>
      <c r="D467"/>
      <c r="E467"/>
      <c r="F467"/>
      <c r="G467"/>
    </row>
    <row r="468" spans="1:7" s="11" customFormat="1">
      <c r="A468"/>
      <c r="B468"/>
      <c r="D468"/>
      <c r="E468"/>
      <c r="F468"/>
      <c r="G468"/>
    </row>
    <row r="469" spans="1:7" s="11" customFormat="1">
      <c r="A469"/>
      <c r="B469"/>
      <c r="D469"/>
      <c r="E469"/>
      <c r="F469"/>
      <c r="G469"/>
    </row>
    <row r="470" spans="1:7" s="11" customFormat="1">
      <c r="A470"/>
      <c r="B470"/>
      <c r="D470"/>
      <c r="E470"/>
      <c r="F470"/>
      <c r="G470"/>
    </row>
    <row r="471" spans="1:7" s="11" customFormat="1">
      <c r="A471"/>
      <c r="B471"/>
      <c r="D471"/>
      <c r="E471"/>
      <c r="F471"/>
      <c r="G471"/>
    </row>
    <row r="472" spans="1:7" s="11" customFormat="1">
      <c r="A472"/>
      <c r="B472"/>
      <c r="D472"/>
      <c r="E472"/>
      <c r="F472"/>
      <c r="G472"/>
    </row>
    <row r="473" spans="1:7" s="11" customFormat="1">
      <c r="A473"/>
      <c r="B473"/>
      <c r="D473"/>
      <c r="E473"/>
      <c r="F473"/>
      <c r="G473"/>
    </row>
    <row r="474" spans="1:7" s="11" customFormat="1">
      <c r="A474"/>
      <c r="B474"/>
      <c r="D474"/>
      <c r="E474"/>
      <c r="F474"/>
      <c r="G474"/>
    </row>
    <row r="475" spans="1:7" s="11" customFormat="1">
      <c r="A475"/>
      <c r="B475"/>
      <c r="D475"/>
      <c r="E475"/>
      <c r="F475"/>
      <c r="G475"/>
    </row>
    <row r="476" spans="1:7" s="11" customFormat="1">
      <c r="A476"/>
      <c r="B476"/>
      <c r="D476"/>
      <c r="E476"/>
      <c r="F476"/>
      <c r="G476"/>
    </row>
    <row r="477" spans="1:7" s="11" customFormat="1">
      <c r="A477"/>
      <c r="B477"/>
      <c r="D477"/>
      <c r="E477"/>
      <c r="F477"/>
      <c r="G477"/>
    </row>
    <row r="478" spans="1:7" s="11" customFormat="1">
      <c r="A478"/>
      <c r="B478"/>
      <c r="D478"/>
      <c r="E478"/>
      <c r="F478"/>
      <c r="G478"/>
    </row>
    <row r="479" spans="1:7" s="11" customFormat="1">
      <c r="A479"/>
      <c r="B479"/>
      <c r="D479"/>
      <c r="E479"/>
      <c r="F479"/>
      <c r="G479"/>
    </row>
    <row r="480" spans="1:7" s="11" customFormat="1">
      <c r="A480"/>
      <c r="B480"/>
      <c r="D480"/>
      <c r="E480"/>
      <c r="F480"/>
      <c r="G480"/>
    </row>
    <row r="481" spans="1:7" s="11" customFormat="1">
      <c r="A481"/>
      <c r="B481"/>
      <c r="D481"/>
      <c r="E481"/>
      <c r="F481"/>
      <c r="G481"/>
    </row>
    <row r="482" spans="1:7" s="11" customFormat="1">
      <c r="A482"/>
      <c r="B482"/>
      <c r="D482"/>
      <c r="E482"/>
      <c r="F482"/>
      <c r="G482"/>
    </row>
    <row r="483" spans="1:7" s="11" customFormat="1">
      <c r="A483"/>
      <c r="B483"/>
      <c r="D483"/>
      <c r="E483"/>
      <c r="F483"/>
      <c r="G483"/>
    </row>
    <row r="484" spans="1:7" s="11" customFormat="1">
      <c r="A484"/>
      <c r="B484"/>
      <c r="D484"/>
      <c r="E484"/>
      <c r="F484"/>
      <c r="G484"/>
    </row>
    <row r="485" spans="1:7" s="11" customFormat="1">
      <c r="A485"/>
      <c r="B485"/>
      <c r="D485"/>
      <c r="E485"/>
      <c r="F485"/>
      <c r="G485"/>
    </row>
    <row r="486" spans="1:7" s="11" customFormat="1">
      <c r="A486"/>
      <c r="B486"/>
      <c r="D486"/>
      <c r="E486"/>
      <c r="F486"/>
      <c r="G486"/>
    </row>
    <row r="487" spans="1:7" s="11" customFormat="1">
      <c r="A487"/>
      <c r="B487"/>
      <c r="D487"/>
      <c r="E487"/>
      <c r="F487"/>
      <c r="G487"/>
    </row>
    <row r="488" spans="1:7" s="11" customFormat="1">
      <c r="A488"/>
      <c r="B488"/>
      <c r="D488"/>
      <c r="E488"/>
      <c r="F488"/>
      <c r="G488"/>
    </row>
    <row r="489" spans="1:7" s="11" customFormat="1">
      <c r="A489"/>
      <c r="B489"/>
      <c r="D489"/>
      <c r="E489"/>
      <c r="F489"/>
      <c r="G489"/>
    </row>
    <row r="490" spans="1:7" s="11" customFormat="1">
      <c r="A490"/>
      <c r="B490"/>
      <c r="D490"/>
      <c r="E490"/>
      <c r="F490"/>
      <c r="G490"/>
    </row>
    <row r="491" spans="1:7" s="11" customFormat="1">
      <c r="A491"/>
      <c r="B491"/>
      <c r="D491"/>
      <c r="E491"/>
      <c r="F491"/>
      <c r="G491"/>
    </row>
    <row r="492" spans="1:7" s="11" customFormat="1">
      <c r="A492"/>
      <c r="B492"/>
      <c r="D492"/>
      <c r="E492"/>
      <c r="F492"/>
      <c r="G492"/>
    </row>
    <row r="493" spans="1:7" s="11" customFormat="1">
      <c r="A493"/>
      <c r="B493"/>
      <c r="D493"/>
      <c r="E493"/>
      <c r="F493"/>
      <c r="G493"/>
    </row>
    <row r="494" spans="1:7" s="11" customFormat="1">
      <c r="A494"/>
      <c r="B494"/>
      <c r="D494"/>
      <c r="E494"/>
      <c r="F494"/>
      <c r="G494"/>
    </row>
    <row r="495" spans="1:7" s="11" customFormat="1">
      <c r="A495"/>
      <c r="B495"/>
      <c r="D495"/>
      <c r="E495"/>
      <c r="F495"/>
      <c r="G495"/>
    </row>
    <row r="496" spans="1:7" s="11" customFormat="1">
      <c r="A496"/>
      <c r="B496"/>
      <c r="D496"/>
      <c r="E496"/>
      <c r="F496"/>
      <c r="G496"/>
    </row>
    <row r="497" spans="1:7" s="11" customFormat="1">
      <c r="A497"/>
      <c r="B497"/>
      <c r="D497"/>
      <c r="E497"/>
      <c r="F497"/>
      <c r="G497"/>
    </row>
    <row r="498" spans="1:7" s="11" customFormat="1">
      <c r="A498"/>
      <c r="B498"/>
      <c r="D498"/>
      <c r="E498"/>
      <c r="F498"/>
      <c r="G498"/>
    </row>
    <row r="499" spans="1:7" s="11" customFormat="1">
      <c r="A499"/>
      <c r="B499"/>
      <c r="D499"/>
      <c r="E499"/>
      <c r="F499"/>
      <c r="G499"/>
    </row>
    <row r="500" spans="1:7" s="11" customFormat="1">
      <c r="A500"/>
      <c r="B500"/>
      <c r="D500"/>
      <c r="E500"/>
      <c r="F500"/>
      <c r="G500"/>
    </row>
    <row r="501" spans="1:7" s="11" customFormat="1">
      <c r="A501"/>
      <c r="B501"/>
      <c r="D501"/>
      <c r="E501"/>
      <c r="F501"/>
      <c r="G501"/>
    </row>
    <row r="502" spans="1:7" s="11" customFormat="1">
      <c r="A502"/>
      <c r="B502"/>
      <c r="D502"/>
      <c r="E502"/>
      <c r="F502"/>
      <c r="G502"/>
    </row>
    <row r="503" spans="1:7" s="11" customFormat="1">
      <c r="A503"/>
      <c r="B503"/>
      <c r="D503"/>
      <c r="E503"/>
      <c r="F503"/>
      <c r="G503"/>
    </row>
    <row r="504" spans="1:7" s="11" customFormat="1">
      <c r="A504"/>
      <c r="B504"/>
      <c r="D504"/>
      <c r="E504"/>
      <c r="F504"/>
      <c r="G504"/>
    </row>
    <row r="505" spans="1:7" s="11" customFormat="1">
      <c r="A505"/>
      <c r="B505"/>
      <c r="D505"/>
      <c r="E505"/>
      <c r="F505"/>
      <c r="G505"/>
    </row>
    <row r="506" spans="1:7" s="11" customFormat="1">
      <c r="A506"/>
      <c r="B506"/>
      <c r="D506"/>
      <c r="E506"/>
      <c r="F506"/>
      <c r="G506"/>
    </row>
    <row r="507" spans="1:7" s="11" customFormat="1">
      <c r="A507"/>
      <c r="B507"/>
      <c r="D507"/>
      <c r="E507"/>
      <c r="F507"/>
      <c r="G507"/>
    </row>
    <row r="508" spans="1:7" s="11" customFormat="1">
      <c r="A508"/>
      <c r="B508"/>
      <c r="D508"/>
      <c r="E508"/>
      <c r="F508"/>
      <c r="G508"/>
    </row>
    <row r="509" spans="1:7" s="11" customFormat="1">
      <c r="A509"/>
      <c r="B509"/>
      <c r="D509"/>
      <c r="E509"/>
      <c r="F509"/>
      <c r="G509"/>
    </row>
    <row r="510" spans="1:7" s="11" customFormat="1">
      <c r="A510"/>
      <c r="B510"/>
      <c r="D510"/>
      <c r="E510"/>
      <c r="F510"/>
      <c r="G510"/>
    </row>
    <row r="511" spans="1:7" s="11" customFormat="1">
      <c r="A511"/>
      <c r="B511"/>
      <c r="D511"/>
      <c r="E511"/>
      <c r="F511"/>
      <c r="G511"/>
    </row>
    <row r="512" spans="1:7" s="11" customFormat="1">
      <c r="A512"/>
      <c r="B512"/>
      <c r="D512"/>
      <c r="E512"/>
      <c r="F512"/>
      <c r="G512"/>
    </row>
    <row r="513" spans="1:7" s="11" customFormat="1">
      <c r="A513"/>
      <c r="B513"/>
      <c r="D513"/>
      <c r="E513"/>
      <c r="F513"/>
      <c r="G513"/>
    </row>
    <row r="514" spans="1:7" s="11" customFormat="1">
      <c r="A514"/>
      <c r="B514"/>
      <c r="D514"/>
      <c r="E514"/>
      <c r="F514"/>
      <c r="G514"/>
    </row>
    <row r="515" spans="1:7" s="11" customFormat="1">
      <c r="A515"/>
      <c r="B515"/>
      <c r="D515"/>
      <c r="E515"/>
      <c r="F515"/>
      <c r="G515"/>
    </row>
    <row r="516" spans="1:7" s="11" customFormat="1">
      <c r="A516"/>
      <c r="B516"/>
      <c r="D516"/>
      <c r="E516"/>
      <c r="F516"/>
      <c r="G516"/>
    </row>
    <row r="517" spans="1:7" s="11" customFormat="1">
      <c r="A517"/>
      <c r="B517"/>
      <c r="D517"/>
      <c r="E517"/>
      <c r="F517"/>
      <c r="G517"/>
    </row>
    <row r="518" spans="1:7" s="11" customFormat="1">
      <c r="A518"/>
      <c r="B518"/>
      <c r="D518"/>
      <c r="E518"/>
      <c r="F518"/>
      <c r="G518"/>
    </row>
    <row r="519" spans="1:7" s="11" customFormat="1">
      <c r="A519"/>
      <c r="B519"/>
      <c r="D519"/>
      <c r="E519"/>
      <c r="F519"/>
      <c r="G519"/>
    </row>
    <row r="520" spans="1:7" s="11" customFormat="1">
      <c r="A520"/>
      <c r="B520"/>
      <c r="D520"/>
      <c r="E520"/>
      <c r="F520"/>
      <c r="G520"/>
    </row>
    <row r="521" spans="1:7" s="11" customFormat="1">
      <c r="A521"/>
      <c r="B521"/>
      <c r="D521"/>
      <c r="E521"/>
      <c r="F521"/>
      <c r="G521"/>
    </row>
    <row r="522" spans="1:7" s="11" customFormat="1">
      <c r="A522"/>
      <c r="B522"/>
      <c r="D522"/>
      <c r="E522"/>
      <c r="F522"/>
      <c r="G522"/>
    </row>
    <row r="523" spans="1:7" s="11" customFormat="1">
      <c r="A523"/>
      <c r="B523"/>
      <c r="D523"/>
      <c r="E523"/>
      <c r="F523"/>
      <c r="G523"/>
    </row>
    <row r="524" spans="1:7" s="11" customFormat="1">
      <c r="A524"/>
      <c r="B524"/>
      <c r="D524"/>
      <c r="E524"/>
      <c r="F524"/>
      <c r="G524"/>
    </row>
    <row r="525" spans="1:7" s="11" customFormat="1">
      <c r="A525"/>
      <c r="B525"/>
      <c r="D525"/>
      <c r="E525"/>
      <c r="F525"/>
      <c r="G525"/>
    </row>
    <row r="526" spans="1:7" s="11" customFormat="1">
      <c r="A526"/>
      <c r="B526"/>
      <c r="D526"/>
      <c r="E526"/>
      <c r="F526"/>
      <c r="G526"/>
    </row>
    <row r="527" spans="1:7" s="11" customFormat="1">
      <c r="A527"/>
      <c r="B527"/>
      <c r="D527"/>
      <c r="E527"/>
      <c r="F527"/>
      <c r="G527"/>
    </row>
    <row r="528" spans="1:7" s="11" customFormat="1">
      <c r="A528"/>
      <c r="B528"/>
      <c r="D528"/>
      <c r="E528"/>
      <c r="F528"/>
      <c r="G528"/>
    </row>
    <row r="529" spans="1:7" s="11" customFormat="1">
      <c r="A529"/>
      <c r="B529"/>
      <c r="D529"/>
      <c r="E529"/>
      <c r="F529"/>
      <c r="G529"/>
    </row>
    <row r="530" spans="1:7" s="11" customFormat="1">
      <c r="A530"/>
      <c r="B530"/>
      <c r="D530"/>
      <c r="E530"/>
      <c r="F530"/>
      <c r="G530"/>
    </row>
    <row r="531" spans="1:7" s="11" customFormat="1">
      <c r="A531"/>
      <c r="B531"/>
      <c r="D531"/>
      <c r="E531"/>
      <c r="F531"/>
      <c r="G531"/>
    </row>
    <row r="532" spans="1:7" s="11" customFormat="1">
      <c r="A532"/>
      <c r="B532"/>
      <c r="D532"/>
      <c r="E532"/>
      <c r="F532"/>
      <c r="G532"/>
    </row>
    <row r="533" spans="1:7" s="11" customFormat="1">
      <c r="A533"/>
      <c r="B533"/>
      <c r="D533"/>
      <c r="E533"/>
      <c r="F533"/>
      <c r="G533"/>
    </row>
    <row r="534" spans="1:7" s="11" customFormat="1">
      <c r="A534"/>
      <c r="B534"/>
      <c r="D534"/>
      <c r="E534"/>
      <c r="F534"/>
      <c r="G534"/>
    </row>
    <row r="535" spans="1:7" s="11" customFormat="1">
      <c r="A535"/>
      <c r="B535"/>
      <c r="D535"/>
      <c r="E535"/>
      <c r="F535"/>
      <c r="G535"/>
    </row>
    <row r="536" spans="1:7" s="11" customFormat="1">
      <c r="A536"/>
      <c r="B536"/>
      <c r="D536"/>
      <c r="E536"/>
      <c r="F536"/>
      <c r="G536"/>
    </row>
    <row r="537" spans="1:7" s="11" customFormat="1">
      <c r="A537"/>
      <c r="B537"/>
      <c r="D537"/>
      <c r="E537"/>
      <c r="F537"/>
      <c r="G537"/>
    </row>
    <row r="538" spans="1:7" s="11" customFormat="1">
      <c r="A538"/>
      <c r="B538"/>
      <c r="D538"/>
      <c r="E538"/>
      <c r="F538"/>
      <c r="G538"/>
    </row>
    <row r="539" spans="1:7" s="11" customFormat="1">
      <c r="A539"/>
      <c r="B539"/>
      <c r="D539"/>
      <c r="E539"/>
      <c r="F539"/>
      <c r="G539"/>
    </row>
    <row r="540" spans="1:7" s="11" customFormat="1">
      <c r="A540"/>
      <c r="B540"/>
      <c r="D540"/>
      <c r="E540"/>
      <c r="F540"/>
      <c r="G540"/>
    </row>
    <row r="541" spans="1:7" s="11" customFormat="1">
      <c r="A541"/>
      <c r="B541"/>
      <c r="D541"/>
      <c r="E541"/>
      <c r="F541"/>
      <c r="G541"/>
    </row>
    <row r="542" spans="1:7" s="11" customFormat="1">
      <c r="A542"/>
      <c r="B542"/>
      <c r="D542"/>
      <c r="E542"/>
      <c r="F542"/>
      <c r="G542"/>
    </row>
    <row r="543" spans="1:7" s="11" customFormat="1">
      <c r="A543"/>
      <c r="B543"/>
      <c r="D543"/>
      <c r="E543"/>
      <c r="F543"/>
      <c r="G543"/>
    </row>
    <row r="544" spans="1:7" s="11" customFormat="1">
      <c r="A544"/>
      <c r="B544"/>
      <c r="D544"/>
      <c r="E544"/>
      <c r="F544"/>
      <c r="G544"/>
    </row>
    <row r="545" spans="1:7" s="11" customFormat="1">
      <c r="A545"/>
      <c r="B545"/>
      <c r="D545"/>
      <c r="E545"/>
      <c r="F545"/>
      <c r="G545"/>
    </row>
    <row r="546" spans="1:7" s="11" customFormat="1">
      <c r="A546"/>
      <c r="B546"/>
      <c r="D546"/>
      <c r="E546"/>
      <c r="F546"/>
      <c r="G546"/>
    </row>
    <row r="547" spans="1:7" s="11" customFormat="1">
      <c r="A547"/>
      <c r="B547"/>
      <c r="D547"/>
      <c r="E547"/>
      <c r="F547"/>
      <c r="G547"/>
    </row>
    <row r="548" spans="1:7" s="11" customFormat="1">
      <c r="A548"/>
      <c r="B548"/>
      <c r="D548"/>
      <c r="E548"/>
      <c r="F548"/>
      <c r="G548"/>
    </row>
    <row r="549" spans="1:7" s="11" customFormat="1">
      <c r="A549"/>
      <c r="B549"/>
      <c r="D549"/>
      <c r="E549"/>
      <c r="F549"/>
      <c r="G549"/>
    </row>
    <row r="550" spans="1:7" s="11" customFormat="1">
      <c r="A550"/>
      <c r="B550"/>
      <c r="D550"/>
      <c r="E550"/>
      <c r="F550"/>
      <c r="G550"/>
    </row>
    <row r="551" spans="1:7" s="11" customFormat="1">
      <c r="A551"/>
      <c r="B551"/>
      <c r="D551"/>
      <c r="E551"/>
      <c r="F551"/>
      <c r="G551"/>
    </row>
    <row r="552" spans="1:7" s="11" customFormat="1">
      <c r="A552"/>
      <c r="B552"/>
      <c r="D552"/>
      <c r="E552"/>
      <c r="F552"/>
      <c r="G552"/>
    </row>
    <row r="553" spans="1:7" s="11" customFormat="1">
      <c r="A553"/>
      <c r="B553"/>
      <c r="D553"/>
      <c r="E553"/>
      <c r="F553"/>
      <c r="G553"/>
    </row>
    <row r="554" spans="1:7" s="11" customFormat="1">
      <c r="A554"/>
      <c r="B554"/>
      <c r="D554"/>
      <c r="E554"/>
      <c r="F554"/>
      <c r="G554"/>
    </row>
    <row r="555" spans="1:7" s="11" customFormat="1">
      <c r="A555"/>
      <c r="B555"/>
      <c r="D555"/>
      <c r="E555"/>
      <c r="F555"/>
      <c r="G555"/>
    </row>
    <row r="556" spans="1:7" s="11" customFormat="1">
      <c r="A556"/>
      <c r="B556"/>
      <c r="D556"/>
      <c r="E556"/>
      <c r="F556"/>
      <c r="G556"/>
    </row>
    <row r="557" spans="1:7" s="11" customFormat="1">
      <c r="A557"/>
      <c r="B557"/>
      <c r="D557"/>
      <c r="E557"/>
      <c r="F557"/>
      <c r="G557"/>
    </row>
    <row r="558" spans="1:7" s="11" customFormat="1">
      <c r="A558"/>
      <c r="B558"/>
      <c r="D558"/>
      <c r="E558"/>
      <c r="F558"/>
      <c r="G558"/>
    </row>
    <row r="559" spans="1:7" s="11" customFormat="1">
      <c r="A559"/>
      <c r="B559"/>
      <c r="D559"/>
      <c r="E559"/>
      <c r="F559"/>
      <c r="G559"/>
    </row>
    <row r="560" spans="1:7" s="11" customFormat="1">
      <c r="A560"/>
      <c r="B560"/>
      <c r="D560"/>
      <c r="E560"/>
      <c r="F560"/>
      <c r="G560"/>
    </row>
    <row r="561" spans="1:7" s="11" customFormat="1">
      <c r="A561"/>
      <c r="B561"/>
      <c r="D561"/>
      <c r="E561"/>
      <c r="F561"/>
      <c r="G561"/>
    </row>
    <row r="562" spans="1:7" s="11" customFormat="1">
      <c r="A562"/>
      <c r="B562"/>
      <c r="D562"/>
      <c r="E562"/>
      <c r="F562"/>
      <c r="G562"/>
    </row>
    <row r="563" spans="1:7" s="11" customFormat="1">
      <c r="A563"/>
      <c r="B563"/>
      <c r="D563"/>
      <c r="E563"/>
      <c r="F563"/>
      <c r="G563"/>
    </row>
    <row r="564" spans="1:7" s="11" customFormat="1">
      <c r="A564"/>
      <c r="B564"/>
      <c r="D564"/>
      <c r="E564"/>
      <c r="F564"/>
      <c r="G564"/>
    </row>
    <row r="565" spans="1:7" s="11" customFormat="1">
      <c r="A565"/>
      <c r="B565"/>
      <c r="D565"/>
      <c r="E565"/>
      <c r="F565"/>
      <c r="G565"/>
    </row>
    <row r="566" spans="1:7" s="11" customFormat="1">
      <c r="A566"/>
      <c r="B566"/>
      <c r="D566"/>
      <c r="E566"/>
      <c r="F566"/>
      <c r="G566"/>
    </row>
    <row r="567" spans="1:7" s="11" customFormat="1">
      <c r="A567"/>
      <c r="B567"/>
      <c r="D567"/>
      <c r="E567"/>
      <c r="F567"/>
      <c r="G567"/>
    </row>
    <row r="568" spans="1:7" s="11" customFormat="1">
      <c r="A568"/>
      <c r="B568"/>
      <c r="D568"/>
      <c r="E568"/>
      <c r="F568"/>
      <c r="G568"/>
    </row>
    <row r="569" spans="1:7" s="11" customFormat="1">
      <c r="A569"/>
      <c r="B569"/>
      <c r="D569"/>
      <c r="E569"/>
      <c r="F569"/>
      <c r="G569"/>
    </row>
    <row r="570" spans="1:7" s="11" customFormat="1">
      <c r="A570"/>
      <c r="B570"/>
      <c r="D570"/>
      <c r="E570"/>
      <c r="F570"/>
      <c r="G570"/>
    </row>
    <row r="571" spans="1:7" s="11" customFormat="1">
      <c r="A571"/>
      <c r="B571"/>
      <c r="D571"/>
      <c r="E571"/>
      <c r="F571"/>
      <c r="G571"/>
    </row>
    <row r="572" spans="1:7" s="11" customFormat="1">
      <c r="A572"/>
      <c r="B572"/>
      <c r="D572"/>
      <c r="E572"/>
      <c r="F572"/>
      <c r="G572"/>
    </row>
    <row r="573" spans="1:7" s="11" customFormat="1">
      <c r="A573"/>
      <c r="B573"/>
      <c r="D573"/>
      <c r="E573"/>
      <c r="F573"/>
      <c r="G573"/>
    </row>
    <row r="574" spans="1:7" s="11" customFormat="1">
      <c r="A574"/>
      <c r="B574"/>
      <c r="D574"/>
      <c r="E574"/>
      <c r="F574"/>
      <c r="G574"/>
    </row>
    <row r="575" spans="1:7" s="11" customFormat="1">
      <c r="A575"/>
      <c r="B575"/>
      <c r="D575"/>
      <c r="E575"/>
      <c r="F575"/>
      <c r="G575"/>
    </row>
    <row r="576" spans="1:7" s="11" customFormat="1">
      <c r="A576"/>
      <c r="B576"/>
      <c r="D576"/>
      <c r="E576"/>
      <c r="F576"/>
      <c r="G576"/>
    </row>
    <row r="577" spans="1:7" s="11" customFormat="1">
      <c r="A577"/>
      <c r="B577"/>
      <c r="D577"/>
      <c r="E577"/>
      <c r="F577"/>
      <c r="G577"/>
    </row>
    <row r="578" spans="1:7" s="11" customFormat="1">
      <c r="A578"/>
      <c r="B578"/>
      <c r="D578"/>
      <c r="E578"/>
      <c r="F578"/>
      <c r="G578"/>
    </row>
    <row r="579" spans="1:7" s="11" customFormat="1">
      <c r="A579"/>
      <c r="B579"/>
      <c r="D579"/>
      <c r="E579"/>
      <c r="F579"/>
      <c r="G579"/>
    </row>
    <row r="580" spans="1:7" s="11" customFormat="1">
      <c r="A580"/>
      <c r="B580"/>
      <c r="D580"/>
      <c r="E580"/>
      <c r="F580"/>
      <c r="G580"/>
    </row>
    <row r="581" spans="1:7" s="11" customFormat="1">
      <c r="A581"/>
      <c r="B581"/>
      <c r="D581"/>
      <c r="E581"/>
      <c r="F581"/>
      <c r="G581"/>
    </row>
    <row r="582" spans="1:7" s="11" customFormat="1">
      <c r="A582"/>
      <c r="B582"/>
      <c r="D582"/>
      <c r="E582"/>
      <c r="F582"/>
      <c r="G582"/>
    </row>
    <row r="583" spans="1:7" s="11" customFormat="1">
      <c r="A583"/>
      <c r="B583"/>
      <c r="D583"/>
      <c r="E583"/>
      <c r="F583"/>
      <c r="G583"/>
    </row>
    <row r="584" spans="1:7" s="11" customFormat="1">
      <c r="A584"/>
      <c r="B584"/>
      <c r="D584"/>
      <c r="E584"/>
      <c r="F584"/>
      <c r="G584"/>
    </row>
    <row r="585" spans="1:7" s="11" customFormat="1">
      <c r="A585"/>
      <c r="B585"/>
      <c r="D585"/>
      <c r="E585"/>
      <c r="F585"/>
      <c r="G585"/>
    </row>
    <row r="586" spans="1:7" s="11" customFormat="1">
      <c r="A586"/>
      <c r="B586"/>
      <c r="D586"/>
      <c r="E586"/>
      <c r="F586"/>
      <c r="G586"/>
    </row>
    <row r="587" spans="1:7" s="11" customFormat="1">
      <c r="A587"/>
      <c r="B587"/>
      <c r="D587"/>
      <c r="E587"/>
      <c r="F587"/>
      <c r="G587"/>
    </row>
    <row r="588" spans="1:7" s="11" customFormat="1">
      <c r="A588"/>
      <c r="B588"/>
      <c r="D588"/>
      <c r="E588"/>
      <c r="F588"/>
      <c r="G588"/>
    </row>
    <row r="589" spans="1:7" s="11" customFormat="1">
      <c r="A589"/>
      <c r="B589"/>
      <c r="D589"/>
      <c r="E589"/>
      <c r="F589"/>
      <c r="G589"/>
    </row>
    <row r="590" spans="1:7" s="11" customFormat="1">
      <c r="A590"/>
      <c r="B590"/>
      <c r="D590"/>
      <c r="E590"/>
      <c r="F590"/>
      <c r="G590"/>
    </row>
    <row r="591" spans="1:7" s="11" customFormat="1">
      <c r="A591"/>
      <c r="B591"/>
      <c r="D591"/>
      <c r="E591"/>
      <c r="F591"/>
      <c r="G591"/>
    </row>
    <row r="592" spans="1:7" s="11" customFormat="1">
      <c r="A592"/>
      <c r="B592"/>
      <c r="D592"/>
      <c r="E592"/>
      <c r="F592"/>
      <c r="G592"/>
    </row>
    <row r="593" spans="1:7" s="11" customFormat="1">
      <c r="A593"/>
      <c r="B593"/>
      <c r="D593"/>
      <c r="E593"/>
      <c r="F593"/>
      <c r="G593"/>
    </row>
    <row r="594" spans="1:7" s="11" customFormat="1">
      <c r="A594"/>
      <c r="B594"/>
      <c r="D594"/>
      <c r="E594"/>
      <c r="F594"/>
      <c r="G594"/>
    </row>
    <row r="595" spans="1:7" s="11" customFormat="1">
      <c r="A595"/>
      <c r="B595"/>
      <c r="D595"/>
      <c r="E595"/>
      <c r="F595"/>
      <c r="G595"/>
    </row>
    <row r="596" spans="1:7" s="11" customFormat="1">
      <c r="A596"/>
      <c r="B596"/>
      <c r="D596"/>
      <c r="E596"/>
      <c r="F596"/>
      <c r="G596"/>
    </row>
    <row r="597" spans="1:7" s="11" customFormat="1">
      <c r="A597"/>
      <c r="B597"/>
      <c r="D597"/>
      <c r="E597"/>
      <c r="F597"/>
      <c r="G597"/>
    </row>
    <row r="598" spans="1:7" s="11" customFormat="1">
      <c r="A598"/>
      <c r="B598"/>
      <c r="D598"/>
      <c r="E598"/>
      <c r="F598"/>
      <c r="G598"/>
    </row>
    <row r="599" spans="1:7" s="11" customFormat="1">
      <c r="A599"/>
      <c r="B599"/>
      <c r="D599"/>
      <c r="E599"/>
      <c r="F599"/>
      <c r="G599"/>
    </row>
    <row r="600" spans="1:7" s="11" customFormat="1">
      <c r="A600"/>
      <c r="B600"/>
      <c r="D600"/>
      <c r="E600"/>
      <c r="F600"/>
      <c r="G600"/>
    </row>
    <row r="601" spans="1:7" s="11" customFormat="1">
      <c r="A601"/>
      <c r="B601"/>
      <c r="D601"/>
      <c r="E601"/>
      <c r="F601"/>
      <c r="G601"/>
    </row>
    <row r="602" spans="1:7" s="11" customFormat="1">
      <c r="A602"/>
      <c r="B602"/>
      <c r="D602"/>
      <c r="E602"/>
      <c r="F602"/>
      <c r="G602"/>
    </row>
    <row r="603" spans="1:7" s="11" customFormat="1">
      <c r="A603"/>
      <c r="B603"/>
      <c r="D603"/>
      <c r="E603"/>
      <c r="F603"/>
      <c r="G603"/>
    </row>
    <row r="604" spans="1:7" s="11" customFormat="1">
      <c r="A604"/>
      <c r="B604"/>
      <c r="D604"/>
      <c r="E604"/>
      <c r="F604"/>
      <c r="G604"/>
    </row>
    <row r="605" spans="1:7" s="11" customFormat="1">
      <c r="A605"/>
      <c r="B605"/>
      <c r="D605"/>
      <c r="E605"/>
      <c r="F605"/>
      <c r="G605"/>
    </row>
    <row r="606" spans="1:7" s="11" customFormat="1">
      <c r="A606"/>
      <c r="B606"/>
      <c r="D606"/>
      <c r="E606"/>
      <c r="F606"/>
      <c r="G606"/>
    </row>
    <row r="607" spans="1:7" s="11" customFormat="1">
      <c r="A607"/>
      <c r="B607"/>
      <c r="D607"/>
      <c r="E607"/>
      <c r="F607"/>
      <c r="G607"/>
    </row>
    <row r="608" spans="1:7" s="11" customFormat="1">
      <c r="A608"/>
      <c r="B608"/>
      <c r="D608"/>
      <c r="E608"/>
      <c r="F608"/>
      <c r="G608"/>
    </row>
    <row r="609" spans="1:7" s="11" customFormat="1">
      <c r="A609"/>
      <c r="B609"/>
      <c r="D609"/>
      <c r="E609"/>
      <c r="F609"/>
      <c r="G609"/>
    </row>
    <row r="610" spans="1:7" s="11" customFormat="1">
      <c r="A610"/>
      <c r="B610"/>
      <c r="D610"/>
      <c r="E610"/>
      <c r="F610"/>
      <c r="G610"/>
    </row>
    <row r="611" spans="1:7" s="11" customFormat="1">
      <c r="A611"/>
      <c r="B611"/>
      <c r="D611"/>
      <c r="E611"/>
      <c r="F611"/>
      <c r="G611"/>
    </row>
    <row r="612" spans="1:7" s="11" customFormat="1">
      <c r="A612"/>
      <c r="B612"/>
      <c r="D612"/>
      <c r="E612"/>
      <c r="F612"/>
      <c r="G612"/>
    </row>
    <row r="613" spans="1:7" s="11" customFormat="1">
      <c r="A613"/>
      <c r="B613"/>
      <c r="D613"/>
      <c r="E613"/>
      <c r="F613"/>
      <c r="G613"/>
    </row>
    <row r="614" spans="1:7" s="11" customFormat="1">
      <c r="A614"/>
      <c r="B614"/>
      <c r="D614"/>
      <c r="E614"/>
      <c r="F614"/>
      <c r="G614"/>
    </row>
    <row r="615" spans="1:7" s="11" customFormat="1">
      <c r="A615"/>
      <c r="B615"/>
      <c r="D615"/>
      <c r="E615"/>
      <c r="F615"/>
      <c r="G615"/>
    </row>
    <row r="616" spans="1:7" s="11" customFormat="1">
      <c r="A616"/>
      <c r="B616"/>
      <c r="D616"/>
      <c r="E616"/>
      <c r="F616"/>
      <c r="G616"/>
    </row>
    <row r="617" spans="1:7" s="11" customFormat="1">
      <c r="A617"/>
      <c r="B617"/>
      <c r="D617"/>
      <c r="E617"/>
      <c r="F617"/>
      <c r="G617"/>
    </row>
    <row r="618" spans="1:7" s="11" customFormat="1">
      <c r="A618"/>
      <c r="B618"/>
      <c r="D618"/>
      <c r="E618"/>
      <c r="F618"/>
      <c r="G618"/>
    </row>
    <row r="619" spans="1:7" s="11" customFormat="1">
      <c r="A619"/>
      <c r="B619"/>
      <c r="D619"/>
      <c r="E619"/>
      <c r="F619"/>
      <c r="G619"/>
    </row>
    <row r="620" spans="1:7" s="11" customFormat="1">
      <c r="A620"/>
      <c r="B620"/>
      <c r="D620"/>
      <c r="E620"/>
      <c r="F620"/>
      <c r="G620"/>
    </row>
    <row r="621" spans="1:7" s="11" customFormat="1">
      <c r="A621"/>
      <c r="B621"/>
      <c r="D621"/>
      <c r="E621"/>
      <c r="F621"/>
      <c r="G621"/>
    </row>
    <row r="622" spans="1:7" s="11" customFormat="1">
      <c r="A622"/>
      <c r="B622"/>
      <c r="D622"/>
      <c r="E622"/>
      <c r="F622"/>
      <c r="G622"/>
    </row>
    <row r="623" spans="1:7" s="11" customFormat="1">
      <c r="A623"/>
      <c r="B623"/>
      <c r="D623"/>
      <c r="E623"/>
      <c r="F623"/>
      <c r="G623"/>
    </row>
    <row r="624" spans="1:7" s="11" customFormat="1">
      <c r="A624"/>
      <c r="B624"/>
      <c r="D624"/>
      <c r="E624"/>
      <c r="F624"/>
      <c r="G624"/>
    </row>
    <row r="625" spans="1:7" s="11" customFormat="1">
      <c r="A625"/>
      <c r="B625"/>
      <c r="D625"/>
      <c r="E625"/>
      <c r="F625"/>
      <c r="G625"/>
    </row>
    <row r="626" spans="1:7" s="11" customFormat="1">
      <c r="A626"/>
      <c r="B626"/>
      <c r="D626"/>
      <c r="E626"/>
      <c r="F626"/>
      <c r="G626"/>
    </row>
    <row r="627" spans="1:7" s="11" customFormat="1">
      <c r="A627"/>
      <c r="B627"/>
      <c r="D627"/>
      <c r="E627"/>
      <c r="F627"/>
      <c r="G627"/>
    </row>
    <row r="628" spans="1:7" s="11" customFormat="1">
      <c r="A628"/>
      <c r="B628"/>
      <c r="D628"/>
      <c r="E628"/>
      <c r="F628"/>
      <c r="G628"/>
    </row>
    <row r="629" spans="1:7" s="11" customFormat="1">
      <c r="A629"/>
      <c r="B629"/>
      <c r="D629"/>
      <c r="E629"/>
      <c r="F629"/>
      <c r="G629"/>
    </row>
    <row r="630" spans="1:7" s="11" customFormat="1">
      <c r="A630"/>
      <c r="B630"/>
      <c r="D630"/>
      <c r="E630"/>
      <c r="F630"/>
      <c r="G630"/>
    </row>
    <row r="631" spans="1:7" s="11" customFormat="1">
      <c r="A631"/>
      <c r="B631"/>
      <c r="D631"/>
      <c r="E631"/>
      <c r="F631"/>
      <c r="G631"/>
    </row>
    <row r="632" spans="1:7" s="11" customFormat="1">
      <c r="A632"/>
      <c r="B632"/>
      <c r="D632"/>
      <c r="E632"/>
      <c r="F632"/>
      <c r="G632"/>
    </row>
    <row r="633" spans="1:7" s="11" customFormat="1">
      <c r="A633"/>
      <c r="B633"/>
      <c r="D633"/>
      <c r="E633"/>
      <c r="F633"/>
      <c r="G633"/>
    </row>
    <row r="634" spans="1:7" s="11" customFormat="1">
      <c r="A634"/>
      <c r="B634"/>
      <c r="D634"/>
      <c r="E634"/>
      <c r="F634"/>
      <c r="G634"/>
    </row>
    <row r="635" spans="1:7" s="11" customFormat="1">
      <c r="A635"/>
      <c r="B635"/>
      <c r="D635"/>
      <c r="E635"/>
      <c r="F635"/>
      <c r="G635"/>
    </row>
    <row r="636" spans="1:7" s="11" customFormat="1">
      <c r="A636"/>
      <c r="B636"/>
      <c r="D636"/>
      <c r="E636"/>
      <c r="F636"/>
      <c r="G636"/>
    </row>
    <row r="637" spans="1:7" s="11" customFormat="1">
      <c r="A637"/>
      <c r="B637"/>
      <c r="D637"/>
      <c r="E637"/>
      <c r="F637"/>
      <c r="G637"/>
    </row>
    <row r="638" spans="1:7" s="11" customFormat="1">
      <c r="A638"/>
      <c r="B638"/>
      <c r="D638"/>
      <c r="E638"/>
      <c r="F638"/>
      <c r="G638"/>
    </row>
    <row r="639" spans="1:7" s="11" customFormat="1">
      <c r="A639"/>
      <c r="B639"/>
      <c r="D639"/>
      <c r="E639"/>
      <c r="F639"/>
      <c r="G639"/>
    </row>
    <row r="640" spans="1:7" s="11" customFormat="1">
      <c r="A640"/>
      <c r="B640"/>
      <c r="D640"/>
      <c r="E640"/>
      <c r="F640"/>
      <c r="G640"/>
    </row>
    <row r="641" spans="1:7" s="11" customFormat="1">
      <c r="A641"/>
      <c r="B641"/>
      <c r="D641"/>
      <c r="E641"/>
      <c r="F641"/>
      <c r="G641"/>
    </row>
    <row r="642" spans="1:7" s="11" customFormat="1">
      <c r="A642"/>
      <c r="B642"/>
      <c r="D642"/>
      <c r="E642"/>
      <c r="F642"/>
      <c r="G642"/>
    </row>
    <row r="643" spans="1:7" s="11" customFormat="1">
      <c r="A643"/>
      <c r="B643"/>
      <c r="D643"/>
      <c r="E643"/>
      <c r="F643"/>
      <c r="G643"/>
    </row>
    <row r="644" spans="1:7" s="11" customFormat="1">
      <c r="A644"/>
      <c r="B644"/>
      <c r="D644"/>
      <c r="E644"/>
      <c r="F644"/>
      <c r="G644"/>
    </row>
    <row r="645" spans="1:7" s="11" customFormat="1">
      <c r="A645"/>
      <c r="B645"/>
      <c r="D645"/>
      <c r="E645"/>
      <c r="F645"/>
      <c r="G645"/>
    </row>
    <row r="646" spans="1:7" s="11" customFormat="1">
      <c r="A646"/>
      <c r="B646"/>
      <c r="D646"/>
      <c r="E646"/>
      <c r="F646"/>
      <c r="G646"/>
    </row>
    <row r="647" spans="1:7" s="11" customFormat="1">
      <c r="A647"/>
      <c r="B647"/>
      <c r="D647"/>
      <c r="E647"/>
      <c r="F647"/>
      <c r="G647"/>
    </row>
    <row r="648" spans="1:7" s="11" customFormat="1">
      <c r="A648"/>
      <c r="B648"/>
      <c r="D648"/>
      <c r="E648"/>
      <c r="F648"/>
      <c r="G648"/>
    </row>
    <row r="649" spans="1:7" s="11" customFormat="1">
      <c r="A649"/>
      <c r="B649"/>
      <c r="D649"/>
      <c r="E649"/>
      <c r="F649"/>
      <c r="G649"/>
    </row>
    <row r="650" spans="1:7" s="11" customFormat="1">
      <c r="A650"/>
      <c r="B650"/>
      <c r="D650"/>
      <c r="E650"/>
      <c r="F650"/>
      <c r="G650"/>
    </row>
    <row r="651" spans="1:7" s="11" customFormat="1">
      <c r="A651"/>
      <c r="B651"/>
      <c r="D651"/>
      <c r="E651"/>
      <c r="F651"/>
      <c r="G651"/>
    </row>
    <row r="652" spans="1:7" s="11" customFormat="1">
      <c r="A652"/>
      <c r="B652"/>
      <c r="D652"/>
      <c r="E652"/>
      <c r="F652"/>
      <c r="G652"/>
    </row>
    <row r="653" spans="1:7" s="11" customFormat="1">
      <c r="A653"/>
      <c r="B653"/>
      <c r="D653"/>
      <c r="E653"/>
      <c r="F653"/>
      <c r="G653"/>
    </row>
    <row r="654" spans="1:7" s="11" customFormat="1">
      <c r="A654"/>
      <c r="B654"/>
      <c r="D654"/>
      <c r="E654"/>
      <c r="F654"/>
      <c r="G654"/>
    </row>
    <row r="655" spans="1:7" s="11" customFormat="1">
      <c r="A655"/>
      <c r="B655"/>
      <c r="D655"/>
      <c r="E655"/>
      <c r="F655"/>
      <c r="G655"/>
    </row>
    <row r="656" spans="1:7" s="11" customFormat="1">
      <c r="A656"/>
      <c r="B656"/>
      <c r="D656"/>
      <c r="E656"/>
      <c r="F656"/>
      <c r="G656"/>
    </row>
    <row r="657" spans="1:7" s="11" customFormat="1">
      <c r="A657"/>
      <c r="B657"/>
      <c r="D657"/>
      <c r="E657"/>
      <c r="F657"/>
      <c r="G657"/>
    </row>
    <row r="658" spans="1:7" s="11" customFormat="1">
      <c r="A658"/>
      <c r="B658"/>
      <c r="D658"/>
      <c r="E658"/>
      <c r="F658"/>
      <c r="G658"/>
    </row>
    <row r="659" spans="1:7" s="11" customFormat="1">
      <c r="A659"/>
      <c r="B659"/>
      <c r="D659"/>
      <c r="E659"/>
      <c r="F659"/>
      <c r="G659"/>
    </row>
    <row r="660" spans="1:7" s="11" customFormat="1">
      <c r="A660"/>
      <c r="B660"/>
      <c r="D660"/>
      <c r="E660"/>
      <c r="F660"/>
      <c r="G660"/>
    </row>
    <row r="661" spans="1:7" s="11" customFormat="1">
      <c r="A661"/>
      <c r="B661"/>
      <c r="D661"/>
      <c r="E661"/>
      <c r="F661"/>
      <c r="G661"/>
    </row>
    <row r="662" spans="1:7" s="11" customFormat="1">
      <c r="A662"/>
      <c r="B662"/>
      <c r="D662"/>
      <c r="E662"/>
      <c r="F662"/>
      <c r="G662"/>
    </row>
    <row r="663" spans="1:7" s="11" customFormat="1">
      <c r="A663"/>
      <c r="B663"/>
      <c r="D663"/>
      <c r="E663"/>
      <c r="F663"/>
      <c r="G663"/>
    </row>
    <row r="664" spans="1:7" s="11" customFormat="1">
      <c r="A664"/>
      <c r="B664"/>
      <c r="D664"/>
      <c r="E664"/>
      <c r="F664"/>
      <c r="G664"/>
    </row>
    <row r="665" spans="1:7" s="11" customFormat="1">
      <c r="A665"/>
      <c r="B665"/>
      <c r="D665"/>
      <c r="E665"/>
      <c r="F665"/>
      <c r="G665"/>
    </row>
    <row r="666" spans="1:7" s="11" customFormat="1">
      <c r="A666"/>
      <c r="B666"/>
      <c r="D666"/>
      <c r="E666"/>
      <c r="F666"/>
      <c r="G666"/>
    </row>
    <row r="667" spans="1:7" s="11" customFormat="1">
      <c r="A667"/>
      <c r="B667"/>
      <c r="D667"/>
      <c r="E667"/>
      <c r="F667"/>
      <c r="G667"/>
    </row>
    <row r="668" spans="1:7" s="11" customFormat="1">
      <c r="A668"/>
      <c r="B668"/>
      <c r="D668"/>
      <c r="E668"/>
      <c r="F668"/>
      <c r="G668"/>
    </row>
    <row r="669" spans="1:7" s="11" customFormat="1">
      <c r="A669"/>
      <c r="B669"/>
      <c r="D669"/>
      <c r="E669"/>
      <c r="F669"/>
      <c r="G669"/>
    </row>
    <row r="670" spans="1:7" s="11" customFormat="1">
      <c r="A670"/>
      <c r="B670"/>
      <c r="D670"/>
      <c r="E670"/>
      <c r="F670"/>
      <c r="G670"/>
    </row>
    <row r="671" spans="1:7" s="11" customFormat="1">
      <c r="A671"/>
      <c r="B671"/>
      <c r="D671"/>
      <c r="E671"/>
      <c r="F671"/>
      <c r="G671"/>
    </row>
    <row r="672" spans="1:7" s="11" customFormat="1">
      <c r="A672"/>
      <c r="B672"/>
      <c r="D672"/>
      <c r="E672"/>
      <c r="F672"/>
      <c r="G672"/>
    </row>
    <row r="673" spans="1:7" s="11" customFormat="1">
      <c r="A673"/>
      <c r="B673"/>
      <c r="D673"/>
      <c r="E673"/>
      <c r="F673"/>
      <c r="G673"/>
    </row>
    <row r="674" spans="1:7" s="11" customFormat="1">
      <c r="A674"/>
      <c r="B674"/>
      <c r="D674"/>
      <c r="E674"/>
      <c r="F674"/>
      <c r="G674"/>
    </row>
    <row r="675" spans="1:7" s="11" customFormat="1">
      <c r="A675"/>
      <c r="B675"/>
      <c r="D675"/>
      <c r="E675"/>
      <c r="F675"/>
      <c r="G675"/>
    </row>
    <row r="676" spans="1:7" s="11" customFormat="1">
      <c r="A676"/>
      <c r="B676"/>
      <c r="D676"/>
      <c r="E676"/>
      <c r="F676"/>
      <c r="G676"/>
    </row>
    <row r="677" spans="1:7" s="11" customFormat="1">
      <c r="A677"/>
      <c r="B677"/>
      <c r="D677"/>
      <c r="E677"/>
      <c r="F677"/>
      <c r="G677"/>
    </row>
    <row r="678" spans="1:7" s="11" customFormat="1">
      <c r="A678"/>
      <c r="B678"/>
      <c r="D678"/>
      <c r="E678"/>
      <c r="F678"/>
      <c r="G678"/>
    </row>
    <row r="679" spans="1:7" s="11" customFormat="1">
      <c r="A679"/>
      <c r="B679"/>
      <c r="D679"/>
      <c r="E679"/>
      <c r="F679"/>
      <c r="G679"/>
    </row>
    <row r="680" spans="1:7" s="11" customFormat="1">
      <c r="A680"/>
      <c r="B680"/>
      <c r="D680"/>
      <c r="E680"/>
      <c r="F680"/>
      <c r="G680"/>
    </row>
    <row r="681" spans="1:7" s="11" customFormat="1">
      <c r="A681"/>
      <c r="B681"/>
      <c r="D681"/>
      <c r="E681"/>
      <c r="F681"/>
      <c r="G681"/>
    </row>
    <row r="682" spans="1:7" s="11" customFormat="1">
      <c r="A682"/>
      <c r="B682"/>
      <c r="D682"/>
      <c r="E682"/>
      <c r="F682"/>
      <c r="G682"/>
    </row>
    <row r="683" spans="1:7" s="11" customFormat="1">
      <c r="A683"/>
      <c r="B683"/>
      <c r="D683"/>
      <c r="E683"/>
      <c r="F683"/>
      <c r="G683"/>
    </row>
    <row r="684" spans="1:7" s="11" customFormat="1">
      <c r="A684"/>
      <c r="B684"/>
      <c r="D684"/>
      <c r="E684"/>
      <c r="F684"/>
      <c r="G684"/>
    </row>
    <row r="685" spans="1:7" s="11" customFormat="1">
      <c r="A685"/>
      <c r="B685"/>
      <c r="D685"/>
      <c r="E685"/>
      <c r="F685"/>
      <c r="G685"/>
    </row>
    <row r="686" spans="1:7" s="11" customFormat="1">
      <c r="A686"/>
      <c r="B686"/>
      <c r="D686"/>
      <c r="E686"/>
      <c r="F686"/>
      <c r="G686"/>
    </row>
    <row r="687" spans="1:7" s="11" customFormat="1">
      <c r="A687"/>
      <c r="B687"/>
      <c r="D687"/>
      <c r="E687"/>
      <c r="F687"/>
      <c r="G687"/>
    </row>
    <row r="688" spans="1:7" s="11" customFormat="1">
      <c r="A688"/>
      <c r="B688"/>
      <c r="D688"/>
      <c r="E688"/>
      <c r="F688"/>
      <c r="G688"/>
    </row>
    <row r="689" spans="1:7" s="11" customFormat="1">
      <c r="A689"/>
      <c r="B689"/>
      <c r="D689"/>
      <c r="E689"/>
      <c r="F689"/>
      <c r="G689"/>
    </row>
    <row r="690" spans="1:7" s="11" customFormat="1">
      <c r="A690"/>
      <c r="B690"/>
      <c r="D690"/>
      <c r="E690"/>
      <c r="F690"/>
      <c r="G690"/>
    </row>
    <row r="691" spans="1:7" s="11" customFormat="1">
      <c r="A691"/>
      <c r="B691"/>
      <c r="D691"/>
      <c r="E691"/>
      <c r="F691"/>
      <c r="G691"/>
    </row>
    <row r="692" spans="1:7" s="11" customFormat="1">
      <c r="A692"/>
      <c r="B692"/>
      <c r="D692"/>
      <c r="E692"/>
      <c r="F692"/>
      <c r="G692"/>
    </row>
    <row r="693" spans="1:7" s="11" customFormat="1">
      <c r="A693"/>
      <c r="B693"/>
      <c r="D693"/>
      <c r="E693"/>
      <c r="F693"/>
      <c r="G693"/>
    </row>
    <row r="694" spans="1:7" s="11" customFormat="1">
      <c r="A694"/>
      <c r="B694"/>
      <c r="D694"/>
      <c r="E694"/>
      <c r="F694"/>
      <c r="G694"/>
    </row>
    <row r="695" spans="1:7" s="11" customFormat="1">
      <c r="A695"/>
      <c r="B695"/>
      <c r="D695"/>
      <c r="E695"/>
      <c r="F695"/>
      <c r="G695"/>
    </row>
    <row r="696" spans="1:7" s="11" customFormat="1">
      <c r="A696"/>
      <c r="B696"/>
      <c r="D696"/>
      <c r="E696"/>
      <c r="F696"/>
      <c r="G696"/>
    </row>
    <row r="697" spans="1:7" s="11" customFormat="1">
      <c r="A697"/>
      <c r="B697"/>
      <c r="D697"/>
      <c r="E697"/>
      <c r="F697"/>
      <c r="G697"/>
    </row>
    <row r="698" spans="1:7" s="11" customFormat="1">
      <c r="A698"/>
      <c r="B698"/>
      <c r="D698"/>
      <c r="E698"/>
      <c r="F698"/>
      <c r="G698"/>
    </row>
    <row r="699" spans="1:7" s="11" customFormat="1">
      <c r="A699"/>
      <c r="B699"/>
      <c r="D699"/>
      <c r="E699"/>
      <c r="F699"/>
      <c r="G699"/>
    </row>
    <row r="700" spans="1:7" s="11" customFormat="1">
      <c r="A700"/>
      <c r="B700"/>
      <c r="D700"/>
      <c r="E700"/>
      <c r="F700"/>
      <c r="G700"/>
    </row>
    <row r="701" spans="1:7" s="11" customFormat="1">
      <c r="A701"/>
      <c r="B701"/>
      <c r="D701"/>
      <c r="E701"/>
      <c r="F701"/>
      <c r="G701"/>
    </row>
    <row r="702" spans="1:7" s="11" customFormat="1">
      <c r="A702"/>
      <c r="B702"/>
      <c r="D702"/>
      <c r="E702"/>
      <c r="F702"/>
      <c r="G702"/>
    </row>
    <row r="703" spans="1:7" s="11" customFormat="1">
      <c r="A703"/>
      <c r="B703"/>
      <c r="D703"/>
      <c r="E703"/>
      <c r="F703"/>
      <c r="G703"/>
    </row>
    <row r="704" spans="1:7" s="11" customFormat="1">
      <c r="A704"/>
      <c r="B704"/>
      <c r="D704"/>
      <c r="E704"/>
      <c r="F704"/>
      <c r="G704"/>
    </row>
    <row r="705" spans="1:7" s="11" customFormat="1">
      <c r="A705"/>
      <c r="B705"/>
      <c r="D705"/>
      <c r="E705"/>
      <c r="F705"/>
      <c r="G705"/>
    </row>
    <row r="706" spans="1:7" s="11" customFormat="1">
      <c r="A706"/>
      <c r="B706"/>
      <c r="D706"/>
      <c r="E706"/>
      <c r="F706"/>
      <c r="G706"/>
    </row>
    <row r="707" spans="1:7" s="11" customFormat="1">
      <c r="A707"/>
      <c r="B707"/>
      <c r="D707"/>
      <c r="E707"/>
      <c r="F707"/>
      <c r="G707"/>
    </row>
    <row r="708" spans="1:7" s="11" customFormat="1">
      <c r="A708"/>
      <c r="B708"/>
      <c r="D708"/>
      <c r="E708"/>
      <c r="F708"/>
      <c r="G708"/>
    </row>
    <row r="709" spans="1:7" s="11" customFormat="1">
      <c r="A709"/>
      <c r="B709"/>
      <c r="D709"/>
      <c r="E709"/>
      <c r="F709"/>
      <c r="G709"/>
    </row>
    <row r="710" spans="1:7" s="11" customFormat="1">
      <c r="A710"/>
      <c r="B710"/>
      <c r="D710"/>
      <c r="E710"/>
      <c r="F710"/>
      <c r="G710"/>
    </row>
    <row r="711" spans="1:7" s="11" customFormat="1">
      <c r="A711"/>
      <c r="B711"/>
      <c r="D711"/>
      <c r="E711"/>
      <c r="F711"/>
      <c r="G711"/>
    </row>
    <row r="712" spans="1:7" s="11" customFormat="1">
      <c r="A712"/>
      <c r="B712"/>
      <c r="D712"/>
      <c r="E712"/>
      <c r="F712"/>
      <c r="G712"/>
    </row>
    <row r="713" spans="1:7" s="11" customFormat="1">
      <c r="A713"/>
      <c r="B713"/>
      <c r="D713"/>
      <c r="E713"/>
      <c r="F713"/>
      <c r="G713"/>
    </row>
    <row r="714" spans="1:7" s="11" customFormat="1">
      <c r="A714"/>
      <c r="B714"/>
      <c r="D714"/>
      <c r="E714"/>
      <c r="F714"/>
      <c r="G714"/>
    </row>
    <row r="715" spans="1:7" s="11" customFormat="1">
      <c r="A715"/>
      <c r="B715"/>
      <c r="D715"/>
      <c r="E715"/>
      <c r="F715"/>
      <c r="G715"/>
    </row>
    <row r="716" spans="1:7" s="11" customFormat="1">
      <c r="A716"/>
      <c r="B716"/>
      <c r="D716"/>
      <c r="E716"/>
      <c r="F716"/>
      <c r="G716"/>
    </row>
    <row r="717" spans="1:7" s="11" customFormat="1">
      <c r="A717"/>
      <c r="B717"/>
      <c r="D717"/>
      <c r="E717"/>
      <c r="F717"/>
      <c r="G717"/>
    </row>
    <row r="718" spans="1:7" s="11" customFormat="1">
      <c r="A718"/>
      <c r="B718"/>
      <c r="D718"/>
      <c r="E718"/>
      <c r="F718"/>
      <c r="G718"/>
    </row>
    <row r="719" spans="1:7" s="11" customFormat="1">
      <c r="A719"/>
      <c r="B719"/>
      <c r="D719"/>
      <c r="E719"/>
      <c r="F719"/>
      <c r="G719"/>
    </row>
    <row r="720" spans="1:7" s="11" customFormat="1">
      <c r="A720"/>
      <c r="B720"/>
      <c r="D720"/>
      <c r="E720"/>
      <c r="F720"/>
      <c r="G720"/>
    </row>
    <row r="721" spans="1:7" s="11" customFormat="1">
      <c r="A721"/>
      <c r="B721"/>
      <c r="D721"/>
      <c r="E721"/>
      <c r="F721"/>
      <c r="G721"/>
    </row>
    <row r="722" spans="1:7" s="11" customFormat="1">
      <c r="A722"/>
      <c r="B722"/>
      <c r="D722"/>
      <c r="E722"/>
      <c r="F722"/>
      <c r="G722"/>
    </row>
    <row r="723" spans="1:7" s="11" customFormat="1">
      <c r="A723"/>
      <c r="B723"/>
      <c r="D723"/>
      <c r="E723"/>
      <c r="F723"/>
      <c r="G723"/>
    </row>
    <row r="724" spans="1:7" s="11" customFormat="1">
      <c r="A724"/>
      <c r="B724"/>
      <c r="D724"/>
      <c r="E724"/>
      <c r="F724"/>
      <c r="G724"/>
    </row>
    <row r="725" spans="1:7" s="11" customFormat="1">
      <c r="A725"/>
      <c r="B725"/>
      <c r="D725"/>
      <c r="E725"/>
      <c r="F725"/>
      <c r="G725"/>
    </row>
    <row r="726" spans="1:7" s="11" customFormat="1">
      <c r="A726"/>
      <c r="B726"/>
      <c r="D726"/>
      <c r="E726"/>
      <c r="F726"/>
      <c r="G726"/>
    </row>
    <row r="727" spans="1:7" s="11" customFormat="1">
      <c r="A727"/>
      <c r="B727"/>
      <c r="D727"/>
      <c r="E727"/>
      <c r="F727"/>
      <c r="G727"/>
    </row>
    <row r="728" spans="1:7" s="11" customFormat="1">
      <c r="A728"/>
      <c r="B728"/>
      <c r="D728"/>
      <c r="E728"/>
      <c r="F728"/>
      <c r="G728"/>
    </row>
    <row r="729" spans="1:7" s="11" customFormat="1">
      <c r="A729"/>
      <c r="B729"/>
      <c r="D729"/>
      <c r="E729"/>
      <c r="F729"/>
      <c r="G729"/>
    </row>
    <row r="730" spans="1:7" s="11" customFormat="1">
      <c r="A730"/>
      <c r="B730"/>
      <c r="D730"/>
      <c r="E730"/>
      <c r="F730"/>
      <c r="G730"/>
    </row>
    <row r="731" spans="1:7" s="11" customFormat="1">
      <c r="A731"/>
      <c r="B731"/>
      <c r="D731"/>
      <c r="E731"/>
      <c r="F731"/>
      <c r="G731"/>
    </row>
    <row r="732" spans="1:7" s="11" customFormat="1">
      <c r="A732"/>
      <c r="B732"/>
      <c r="D732"/>
      <c r="E732"/>
      <c r="F732"/>
      <c r="G732"/>
    </row>
    <row r="733" spans="1:7" s="11" customFormat="1">
      <c r="A733"/>
      <c r="B733"/>
      <c r="D733"/>
      <c r="E733"/>
      <c r="F733"/>
      <c r="G733"/>
    </row>
    <row r="734" spans="1:7" s="11" customFormat="1">
      <c r="A734"/>
      <c r="B734"/>
      <c r="D734"/>
      <c r="E734"/>
      <c r="F734"/>
      <c r="G734"/>
    </row>
    <row r="735" spans="1:7" s="11" customFormat="1">
      <c r="A735"/>
      <c r="B735"/>
      <c r="D735"/>
      <c r="E735"/>
      <c r="F735"/>
      <c r="G735"/>
    </row>
    <row r="736" spans="1:7" s="11" customFormat="1">
      <c r="A736"/>
      <c r="B736"/>
      <c r="D736"/>
      <c r="E736"/>
      <c r="F736"/>
      <c r="G736"/>
    </row>
    <row r="737" spans="1:7" s="11" customFormat="1">
      <c r="A737"/>
      <c r="B737"/>
      <c r="D737"/>
      <c r="E737"/>
      <c r="F737"/>
      <c r="G737"/>
    </row>
    <row r="738" spans="1:7" s="11" customFormat="1">
      <c r="A738"/>
      <c r="B738"/>
      <c r="D738"/>
      <c r="E738"/>
      <c r="F738"/>
      <c r="G738"/>
    </row>
    <row r="739" spans="1:7" s="11" customFormat="1">
      <c r="A739"/>
      <c r="B739"/>
      <c r="D739"/>
      <c r="E739"/>
      <c r="F739"/>
      <c r="G739"/>
    </row>
    <row r="740" spans="1:7" s="11" customFormat="1">
      <c r="A740"/>
      <c r="B740"/>
      <c r="D740"/>
      <c r="E740"/>
      <c r="F740"/>
      <c r="G740"/>
    </row>
    <row r="741" spans="1:7" s="11" customFormat="1">
      <c r="A741"/>
      <c r="B741"/>
      <c r="D741"/>
      <c r="E741"/>
      <c r="F741"/>
      <c r="G741"/>
    </row>
    <row r="742" spans="1:7" s="11" customFormat="1">
      <c r="A742"/>
      <c r="B742"/>
      <c r="D742"/>
      <c r="E742"/>
      <c r="F742"/>
      <c r="G742"/>
    </row>
    <row r="743" spans="1:7" s="11" customFormat="1">
      <c r="A743"/>
      <c r="B743"/>
      <c r="D743"/>
      <c r="E743"/>
      <c r="F743"/>
      <c r="G743"/>
    </row>
    <row r="744" spans="1:7" s="11" customFormat="1">
      <c r="A744"/>
      <c r="B744"/>
      <c r="D744"/>
      <c r="E744"/>
      <c r="F744"/>
      <c r="G744"/>
    </row>
    <row r="745" spans="1:7" s="11" customFormat="1">
      <c r="A745"/>
      <c r="B745"/>
      <c r="D745"/>
      <c r="E745"/>
      <c r="F745"/>
      <c r="G745"/>
    </row>
    <row r="746" spans="1:7" s="11" customFormat="1">
      <c r="A746"/>
      <c r="B746"/>
      <c r="D746"/>
      <c r="E746"/>
      <c r="F746"/>
      <c r="G746"/>
    </row>
    <row r="747" spans="1:7" s="11" customFormat="1">
      <c r="A747"/>
      <c r="B747"/>
      <c r="D747"/>
      <c r="E747"/>
      <c r="F747"/>
      <c r="G747"/>
    </row>
    <row r="748" spans="1:7" s="11" customFormat="1">
      <c r="A748"/>
      <c r="B748"/>
      <c r="D748"/>
      <c r="E748"/>
      <c r="F748"/>
      <c r="G748"/>
    </row>
    <row r="749" spans="1:7" s="11" customFormat="1">
      <c r="A749"/>
      <c r="B749"/>
      <c r="D749"/>
      <c r="E749"/>
      <c r="F749"/>
      <c r="G749"/>
    </row>
    <row r="750" spans="1:7" s="11" customFormat="1">
      <c r="A750"/>
      <c r="B750"/>
      <c r="D750"/>
      <c r="E750"/>
      <c r="F750"/>
      <c r="G750"/>
    </row>
    <row r="751" spans="1:7" s="11" customFormat="1">
      <c r="A751"/>
      <c r="B751"/>
      <c r="D751"/>
      <c r="E751"/>
      <c r="F751"/>
      <c r="G751"/>
    </row>
    <row r="752" spans="1:7" s="11" customFormat="1">
      <c r="A752"/>
      <c r="B752"/>
      <c r="D752"/>
      <c r="E752"/>
      <c r="F752"/>
      <c r="G752"/>
    </row>
    <row r="753" spans="1:7" s="11" customFormat="1">
      <c r="A753"/>
      <c r="B753"/>
      <c r="D753"/>
      <c r="E753"/>
      <c r="F753"/>
      <c r="G753"/>
    </row>
    <row r="754" spans="1:7" s="11" customFormat="1">
      <c r="A754"/>
      <c r="B754"/>
      <c r="D754"/>
      <c r="E754"/>
      <c r="F754"/>
      <c r="G754"/>
    </row>
    <row r="755" spans="1:7" s="11" customFormat="1">
      <c r="A755"/>
      <c r="B755"/>
      <c r="D755"/>
      <c r="E755"/>
      <c r="F755"/>
      <c r="G755"/>
    </row>
    <row r="756" spans="1:7" s="11" customFormat="1">
      <c r="A756"/>
      <c r="B756"/>
      <c r="D756"/>
      <c r="E756"/>
      <c r="F756"/>
      <c r="G756"/>
    </row>
    <row r="757" spans="1:7" s="11" customFormat="1">
      <c r="A757"/>
      <c r="B757"/>
      <c r="D757"/>
      <c r="E757"/>
      <c r="F757"/>
      <c r="G757"/>
    </row>
    <row r="758" spans="1:7" s="11" customFormat="1">
      <c r="A758"/>
      <c r="B758"/>
      <c r="D758"/>
      <c r="E758"/>
      <c r="F758"/>
      <c r="G758"/>
    </row>
    <row r="759" spans="1:7" s="11" customFormat="1">
      <c r="A759"/>
      <c r="B759"/>
      <c r="D759"/>
      <c r="E759"/>
      <c r="F759"/>
      <c r="G759"/>
    </row>
    <row r="760" spans="1:7" s="11" customFormat="1">
      <c r="A760"/>
      <c r="B760"/>
      <c r="D760"/>
      <c r="E760"/>
      <c r="F760"/>
      <c r="G760"/>
    </row>
    <row r="761" spans="1:7" s="11" customFormat="1">
      <c r="A761"/>
      <c r="B761"/>
      <c r="D761"/>
      <c r="E761"/>
      <c r="F761"/>
      <c r="G761"/>
    </row>
    <row r="762" spans="1:7" s="11" customFormat="1">
      <c r="A762"/>
      <c r="B762"/>
      <c r="D762"/>
      <c r="E762"/>
      <c r="F762"/>
      <c r="G762"/>
    </row>
    <row r="763" spans="1:7" s="11" customFormat="1">
      <c r="A763"/>
      <c r="B763"/>
      <c r="D763"/>
      <c r="E763"/>
      <c r="F763"/>
      <c r="G763"/>
    </row>
    <row r="764" spans="1:7" s="11" customFormat="1">
      <c r="A764"/>
      <c r="B764"/>
      <c r="D764"/>
      <c r="E764"/>
      <c r="F764"/>
      <c r="G764"/>
    </row>
    <row r="765" spans="1:7" s="11" customFormat="1">
      <c r="A765"/>
      <c r="B765"/>
      <c r="D765"/>
      <c r="E765"/>
      <c r="F765"/>
      <c r="G765"/>
    </row>
    <row r="766" spans="1:7" s="11" customFormat="1">
      <c r="A766"/>
      <c r="B766"/>
      <c r="D766"/>
      <c r="E766"/>
      <c r="F766"/>
      <c r="G766"/>
    </row>
    <row r="767" spans="1:7" s="11" customFormat="1">
      <c r="A767"/>
      <c r="B767"/>
      <c r="D767"/>
      <c r="E767"/>
      <c r="F767"/>
      <c r="G767"/>
    </row>
    <row r="768" spans="1:7" s="11" customFormat="1">
      <c r="A768"/>
      <c r="B768"/>
      <c r="D768"/>
      <c r="E768"/>
      <c r="F768"/>
      <c r="G768"/>
    </row>
    <row r="769" spans="1:7" s="11" customFormat="1">
      <c r="A769"/>
      <c r="B769"/>
      <c r="D769"/>
      <c r="E769"/>
      <c r="F769"/>
      <c r="G769"/>
    </row>
    <row r="770" spans="1:7" s="11" customFormat="1">
      <c r="A770"/>
      <c r="B770"/>
      <c r="D770"/>
      <c r="E770"/>
      <c r="F770"/>
      <c r="G770"/>
    </row>
    <row r="771" spans="1:7" s="11" customFormat="1">
      <c r="A771"/>
      <c r="B771"/>
      <c r="D771"/>
      <c r="E771"/>
      <c r="F771"/>
      <c r="G771"/>
    </row>
    <row r="772" spans="1:7" s="11" customFormat="1">
      <c r="A772"/>
      <c r="B772"/>
      <c r="D772"/>
      <c r="E772"/>
      <c r="F772"/>
      <c r="G772"/>
    </row>
    <row r="773" spans="1:7" s="11" customFormat="1">
      <c r="A773"/>
      <c r="B773"/>
      <c r="D773"/>
      <c r="E773"/>
      <c r="F773"/>
      <c r="G773"/>
    </row>
    <row r="774" spans="1:7" s="11" customFormat="1">
      <c r="A774"/>
      <c r="B774"/>
      <c r="D774"/>
      <c r="E774"/>
      <c r="F774"/>
      <c r="G774"/>
    </row>
    <row r="775" spans="1:7" s="11" customFormat="1">
      <c r="A775"/>
      <c r="B775"/>
      <c r="D775"/>
      <c r="E775"/>
      <c r="F775"/>
      <c r="G775"/>
    </row>
    <row r="776" spans="1:7" s="11" customFormat="1">
      <c r="A776"/>
      <c r="B776"/>
      <c r="D776"/>
      <c r="E776"/>
      <c r="F776"/>
      <c r="G776"/>
    </row>
    <row r="777" spans="1:7" s="11" customFormat="1">
      <c r="A777"/>
      <c r="B777"/>
      <c r="D777"/>
      <c r="E777"/>
      <c r="F777"/>
      <c r="G777"/>
    </row>
    <row r="778" spans="1:7" s="11" customFormat="1">
      <c r="A778"/>
      <c r="B778"/>
      <c r="D778"/>
      <c r="E778"/>
      <c r="F778"/>
      <c r="G778"/>
    </row>
    <row r="779" spans="1:7" s="11" customFormat="1">
      <c r="A779"/>
      <c r="B779"/>
      <c r="D779"/>
      <c r="E779"/>
      <c r="F779"/>
      <c r="G779"/>
    </row>
    <row r="780" spans="1:7" s="11" customFormat="1">
      <c r="A780"/>
      <c r="B780"/>
      <c r="D780"/>
      <c r="E780"/>
      <c r="F780"/>
      <c r="G780"/>
    </row>
    <row r="781" spans="1:7" s="11" customFormat="1">
      <c r="A781"/>
      <c r="B781"/>
      <c r="D781"/>
      <c r="E781"/>
      <c r="F781"/>
      <c r="G781"/>
    </row>
    <row r="782" spans="1:7" s="11" customFormat="1">
      <c r="A782"/>
      <c r="B782"/>
      <c r="D782"/>
      <c r="E782"/>
      <c r="F782"/>
      <c r="G782"/>
    </row>
    <row r="783" spans="1:7" s="11" customFormat="1">
      <c r="A783"/>
      <c r="B783"/>
      <c r="D783"/>
      <c r="E783"/>
      <c r="F783"/>
      <c r="G783"/>
    </row>
    <row r="784" spans="1:7" s="11" customFormat="1">
      <c r="A784"/>
      <c r="B784"/>
      <c r="D784"/>
      <c r="E784"/>
      <c r="F784"/>
      <c r="G784"/>
    </row>
    <row r="785" spans="1:7" s="11" customFormat="1">
      <c r="A785"/>
      <c r="B785"/>
      <c r="D785"/>
      <c r="E785"/>
      <c r="F785"/>
      <c r="G785"/>
    </row>
    <row r="786" spans="1:7" s="11" customFormat="1">
      <c r="A786"/>
      <c r="B786"/>
      <c r="D786"/>
      <c r="E786"/>
      <c r="F786"/>
      <c r="G786"/>
    </row>
    <row r="787" spans="1:7" s="11" customFormat="1">
      <c r="A787"/>
      <c r="B787"/>
      <c r="D787"/>
      <c r="E787"/>
      <c r="F787"/>
      <c r="G787"/>
    </row>
    <row r="788" spans="1:7" s="11" customFormat="1">
      <c r="A788"/>
      <c r="B788"/>
      <c r="D788"/>
      <c r="E788"/>
      <c r="F788"/>
      <c r="G788"/>
    </row>
    <row r="789" spans="1:7" s="11" customFormat="1">
      <c r="A789"/>
      <c r="B789"/>
      <c r="D789"/>
      <c r="E789"/>
      <c r="F789"/>
      <c r="G789"/>
    </row>
    <row r="790" spans="1:7" s="11" customFormat="1">
      <c r="A790"/>
      <c r="B790"/>
      <c r="D790"/>
      <c r="E790"/>
      <c r="F790"/>
      <c r="G790"/>
    </row>
    <row r="791" spans="1:7" s="11" customFormat="1">
      <c r="A791"/>
      <c r="B791"/>
      <c r="D791"/>
      <c r="E791"/>
      <c r="F791"/>
      <c r="G791"/>
    </row>
    <row r="792" spans="1:7" s="11" customFormat="1">
      <c r="A792"/>
      <c r="B792"/>
      <c r="D792"/>
      <c r="E792"/>
      <c r="F792"/>
      <c r="G792"/>
    </row>
    <row r="793" spans="1:7" s="11" customFormat="1">
      <c r="A793"/>
      <c r="B793"/>
      <c r="D793"/>
      <c r="E793"/>
      <c r="F793"/>
      <c r="G793"/>
    </row>
    <row r="794" spans="1:7" s="11" customFormat="1">
      <c r="A794"/>
      <c r="B794"/>
      <c r="D794"/>
      <c r="E794"/>
      <c r="F794"/>
      <c r="G794"/>
    </row>
    <row r="795" spans="1:7" s="11" customFormat="1">
      <c r="A795"/>
      <c r="B795"/>
      <c r="D795"/>
      <c r="E795"/>
      <c r="F795"/>
      <c r="G795"/>
    </row>
    <row r="796" spans="1:7" s="11" customFormat="1">
      <c r="A796"/>
      <c r="B796"/>
      <c r="D796"/>
      <c r="E796"/>
      <c r="F796"/>
      <c r="G796"/>
    </row>
    <row r="797" spans="1:7" s="11" customFormat="1">
      <c r="A797"/>
      <c r="B797"/>
      <c r="D797"/>
      <c r="E797"/>
      <c r="F797"/>
      <c r="G797"/>
    </row>
    <row r="798" spans="1:7" s="11" customFormat="1">
      <c r="A798"/>
      <c r="B798"/>
      <c r="D798"/>
      <c r="E798"/>
      <c r="F798"/>
      <c r="G798"/>
    </row>
    <row r="799" spans="1:7" s="11" customFormat="1">
      <c r="A799"/>
      <c r="B799"/>
      <c r="D799"/>
      <c r="E799"/>
      <c r="F799"/>
      <c r="G799"/>
    </row>
    <row r="800" spans="1:7" s="11" customFormat="1">
      <c r="A800"/>
      <c r="B800"/>
      <c r="D800"/>
      <c r="E800"/>
      <c r="F800"/>
      <c r="G800"/>
    </row>
    <row r="801" spans="1:7" s="11" customFormat="1">
      <c r="A801"/>
      <c r="B801"/>
      <c r="D801"/>
      <c r="E801"/>
      <c r="F801"/>
      <c r="G801"/>
    </row>
    <row r="802" spans="1:7" s="11" customFormat="1">
      <c r="A802"/>
      <c r="B802"/>
      <c r="D802"/>
      <c r="E802"/>
      <c r="F802"/>
      <c r="G802"/>
    </row>
    <row r="803" spans="1:7" s="11" customFormat="1">
      <c r="A803"/>
      <c r="B803"/>
      <c r="D803"/>
      <c r="E803"/>
      <c r="F803"/>
      <c r="G803"/>
    </row>
    <row r="804" spans="1:7" s="11" customFormat="1">
      <c r="A804"/>
      <c r="B804"/>
      <c r="D804"/>
      <c r="E804"/>
      <c r="F804"/>
      <c r="G804"/>
    </row>
    <row r="805" spans="1:7" s="11" customFormat="1">
      <c r="A805"/>
      <c r="B805"/>
      <c r="D805"/>
      <c r="E805"/>
      <c r="F805"/>
      <c r="G805"/>
    </row>
    <row r="806" spans="1:7" s="11" customFormat="1">
      <c r="A806"/>
      <c r="B806"/>
      <c r="D806"/>
      <c r="E806"/>
      <c r="F806"/>
      <c r="G806"/>
    </row>
    <row r="807" spans="1:7" s="11" customFormat="1">
      <c r="A807"/>
      <c r="B807"/>
      <c r="D807"/>
      <c r="E807"/>
      <c r="F807"/>
      <c r="G807"/>
    </row>
    <row r="808" spans="1:7" s="11" customFormat="1">
      <c r="A808"/>
      <c r="B808"/>
      <c r="D808"/>
      <c r="E808"/>
      <c r="F808"/>
      <c r="G808"/>
    </row>
    <row r="809" spans="1:7" s="11" customFormat="1">
      <c r="A809"/>
      <c r="B809"/>
      <c r="D809"/>
      <c r="E809"/>
      <c r="F809"/>
      <c r="G809"/>
    </row>
    <row r="810" spans="1:7" s="11" customFormat="1">
      <c r="A810"/>
      <c r="B810"/>
      <c r="D810"/>
      <c r="E810"/>
      <c r="F810"/>
      <c r="G810"/>
    </row>
    <row r="811" spans="1:7" s="11" customFormat="1">
      <c r="A811"/>
      <c r="B811"/>
      <c r="D811"/>
      <c r="E811"/>
      <c r="F811"/>
      <c r="G811"/>
    </row>
    <row r="812" spans="1:7" s="11" customFormat="1">
      <c r="A812"/>
      <c r="B812"/>
      <c r="D812"/>
      <c r="E812"/>
      <c r="F812"/>
      <c r="G812"/>
    </row>
    <row r="813" spans="1:7" s="11" customFormat="1">
      <c r="A813"/>
      <c r="B813"/>
      <c r="D813"/>
      <c r="E813"/>
      <c r="F813"/>
      <c r="G813"/>
    </row>
    <row r="814" spans="1:7" s="11" customFormat="1">
      <c r="A814"/>
      <c r="B814"/>
      <c r="D814"/>
      <c r="E814"/>
      <c r="F814"/>
      <c r="G814"/>
    </row>
    <row r="815" spans="1:7" s="11" customFormat="1">
      <c r="A815"/>
      <c r="B815"/>
      <c r="D815"/>
      <c r="E815"/>
      <c r="F815"/>
      <c r="G815"/>
    </row>
    <row r="816" spans="1:7" s="11" customFormat="1">
      <c r="A816"/>
      <c r="B816"/>
      <c r="D816"/>
      <c r="E816"/>
      <c r="F816"/>
      <c r="G816"/>
    </row>
    <row r="817" spans="1:7" s="11" customFormat="1">
      <c r="A817"/>
      <c r="B817"/>
      <c r="D817"/>
      <c r="E817"/>
      <c r="F817"/>
      <c r="G817"/>
    </row>
    <row r="818" spans="1:7" s="11" customFormat="1">
      <c r="A818"/>
      <c r="B818"/>
      <c r="D818"/>
      <c r="E818"/>
      <c r="F818"/>
      <c r="G818"/>
    </row>
    <row r="819" spans="1:7" s="11" customFormat="1">
      <c r="A819"/>
      <c r="B819"/>
      <c r="D819"/>
      <c r="E819"/>
      <c r="F819"/>
      <c r="G819"/>
    </row>
    <row r="820" spans="1:7" s="11" customFormat="1">
      <c r="A820"/>
      <c r="B820"/>
      <c r="D820"/>
      <c r="E820"/>
      <c r="F820"/>
      <c r="G820"/>
    </row>
    <row r="821" spans="1:7" s="11" customFormat="1">
      <c r="A821"/>
      <c r="B821"/>
      <c r="D821"/>
      <c r="E821"/>
      <c r="F821"/>
      <c r="G821"/>
    </row>
    <row r="822" spans="1:7" s="11" customFormat="1">
      <c r="A822"/>
      <c r="B822"/>
      <c r="D822"/>
      <c r="E822"/>
      <c r="F822"/>
      <c r="G822"/>
    </row>
    <row r="823" spans="1:7" s="11" customFormat="1">
      <c r="A823"/>
      <c r="B823"/>
      <c r="D823"/>
      <c r="E823"/>
      <c r="F823"/>
      <c r="G823"/>
    </row>
    <row r="824" spans="1:7" s="11" customFormat="1">
      <c r="A824"/>
      <c r="B824"/>
      <c r="D824"/>
      <c r="E824"/>
      <c r="F824"/>
      <c r="G824"/>
    </row>
    <row r="825" spans="1:7" s="11" customFormat="1">
      <c r="A825"/>
      <c r="B825"/>
      <c r="D825"/>
      <c r="E825"/>
      <c r="F825"/>
      <c r="G825"/>
    </row>
    <row r="826" spans="1:7" s="11" customFormat="1">
      <c r="A826"/>
      <c r="B826"/>
      <c r="D826"/>
      <c r="E826"/>
      <c r="F826"/>
      <c r="G826"/>
    </row>
    <row r="827" spans="1:7" s="11" customFormat="1">
      <c r="A827"/>
      <c r="B827"/>
      <c r="D827"/>
      <c r="E827"/>
      <c r="F827"/>
      <c r="G827"/>
    </row>
    <row r="828" spans="1:7" s="11" customFormat="1">
      <c r="A828"/>
      <c r="B828"/>
      <c r="D828"/>
      <c r="E828"/>
      <c r="F828"/>
      <c r="G828"/>
    </row>
    <row r="829" spans="1:7" s="11" customFormat="1">
      <c r="A829"/>
      <c r="B829"/>
      <c r="D829"/>
      <c r="E829"/>
      <c r="F829"/>
      <c r="G829"/>
    </row>
    <row r="830" spans="1:7" s="11" customFormat="1">
      <c r="A830"/>
      <c r="B830"/>
      <c r="D830"/>
      <c r="E830"/>
      <c r="F830"/>
      <c r="G830"/>
    </row>
    <row r="831" spans="1:7" s="11" customFormat="1">
      <c r="A831"/>
      <c r="B831"/>
      <c r="D831"/>
      <c r="E831"/>
      <c r="F831"/>
      <c r="G831"/>
    </row>
    <row r="832" spans="1:7" s="11" customFormat="1">
      <c r="A832"/>
      <c r="B832"/>
      <c r="D832"/>
      <c r="E832"/>
      <c r="F832"/>
      <c r="G832"/>
    </row>
    <row r="833" spans="1:7" s="11" customFormat="1">
      <c r="A833"/>
      <c r="B833"/>
      <c r="D833"/>
      <c r="E833"/>
      <c r="F833"/>
      <c r="G833"/>
    </row>
    <row r="834" spans="1:7" s="11" customFormat="1">
      <c r="A834"/>
      <c r="B834"/>
      <c r="D834"/>
      <c r="E834"/>
      <c r="F834"/>
      <c r="G834"/>
    </row>
    <row r="835" spans="1:7" s="11" customFormat="1">
      <c r="A835"/>
      <c r="B835"/>
      <c r="D835"/>
      <c r="E835"/>
      <c r="F835"/>
      <c r="G835"/>
    </row>
    <row r="836" spans="1:7" s="11" customFormat="1">
      <c r="A836"/>
      <c r="B836"/>
      <c r="D836"/>
      <c r="E836"/>
      <c r="F836"/>
      <c r="G836"/>
    </row>
    <row r="837" spans="1:7" s="11" customFormat="1">
      <c r="A837"/>
      <c r="B837"/>
      <c r="D837"/>
      <c r="E837"/>
      <c r="F837"/>
      <c r="G837"/>
    </row>
    <row r="838" spans="1:7" s="11" customFormat="1">
      <c r="A838"/>
      <c r="B838"/>
      <c r="D838"/>
      <c r="E838"/>
      <c r="F838"/>
      <c r="G838"/>
    </row>
    <row r="839" spans="1:7" s="11" customFormat="1">
      <c r="A839"/>
      <c r="B839"/>
      <c r="D839"/>
      <c r="E839"/>
      <c r="F839"/>
      <c r="G839"/>
    </row>
    <row r="840" spans="1:7" s="11" customFormat="1">
      <c r="A840"/>
      <c r="B840"/>
      <c r="D840"/>
      <c r="E840"/>
      <c r="F840"/>
      <c r="G840"/>
    </row>
    <row r="841" spans="1:7" s="11" customFormat="1">
      <c r="A841"/>
      <c r="B841"/>
      <c r="D841"/>
      <c r="E841"/>
      <c r="F841"/>
      <c r="G841"/>
    </row>
    <row r="842" spans="1:7" s="11" customFormat="1">
      <c r="A842"/>
      <c r="B842"/>
      <c r="D842"/>
      <c r="E842"/>
      <c r="F842"/>
      <c r="G842"/>
    </row>
    <row r="843" spans="1:7" s="11" customFormat="1">
      <c r="A843"/>
      <c r="B843"/>
      <c r="D843"/>
      <c r="E843"/>
      <c r="F843"/>
      <c r="G843"/>
    </row>
    <row r="844" spans="1:7" s="11" customFormat="1">
      <c r="A844"/>
      <c r="B844"/>
      <c r="D844"/>
      <c r="E844"/>
      <c r="F844"/>
      <c r="G844"/>
    </row>
    <row r="845" spans="1:7" s="11" customFormat="1">
      <c r="A845"/>
      <c r="B845"/>
      <c r="D845"/>
      <c r="E845"/>
      <c r="F845"/>
      <c r="G845"/>
    </row>
    <row r="846" spans="1:7" s="11" customFormat="1">
      <c r="A846"/>
      <c r="B846"/>
      <c r="D846"/>
      <c r="E846"/>
      <c r="F846"/>
      <c r="G846"/>
    </row>
    <row r="847" spans="1:7" s="11" customFormat="1">
      <c r="A847"/>
      <c r="B847"/>
      <c r="D847"/>
      <c r="E847"/>
      <c r="F847"/>
      <c r="G847"/>
    </row>
    <row r="848" spans="1:7" s="11" customFormat="1">
      <c r="A848"/>
      <c r="B848"/>
      <c r="D848"/>
      <c r="E848"/>
      <c r="F848"/>
      <c r="G848"/>
    </row>
    <row r="849" spans="1:7" s="11" customFormat="1">
      <c r="A849"/>
      <c r="B849"/>
      <c r="D849"/>
      <c r="E849"/>
      <c r="F849"/>
      <c r="G849"/>
    </row>
    <row r="850" spans="1:7" s="11" customFormat="1">
      <c r="A850"/>
      <c r="B850"/>
      <c r="D850"/>
      <c r="E850"/>
      <c r="F850"/>
      <c r="G850"/>
    </row>
    <row r="851" spans="1:7" s="11" customFormat="1">
      <c r="A851"/>
      <c r="B851"/>
      <c r="D851"/>
      <c r="E851"/>
      <c r="F851"/>
      <c r="G851"/>
    </row>
    <row r="852" spans="1:7" s="11" customFormat="1">
      <c r="A852"/>
      <c r="B852"/>
      <c r="D852"/>
      <c r="E852"/>
      <c r="F852"/>
      <c r="G852"/>
    </row>
    <row r="853" spans="1:7" s="11" customFormat="1">
      <c r="A853"/>
      <c r="B853"/>
      <c r="D853"/>
      <c r="E853"/>
      <c r="F853"/>
      <c r="G853"/>
    </row>
    <row r="854" spans="1:7" s="11" customFormat="1">
      <c r="A854"/>
      <c r="B854"/>
      <c r="D854"/>
      <c r="E854"/>
      <c r="F854"/>
      <c r="G854"/>
    </row>
    <row r="855" spans="1:7" s="11" customFormat="1">
      <c r="A855"/>
      <c r="B855"/>
      <c r="D855"/>
      <c r="E855"/>
      <c r="F855"/>
      <c r="G855"/>
    </row>
    <row r="856" spans="1:7" s="11" customFormat="1">
      <c r="A856"/>
      <c r="B856"/>
      <c r="D856"/>
      <c r="E856"/>
      <c r="F856"/>
      <c r="G856"/>
    </row>
    <row r="857" spans="1:7" s="11" customFormat="1">
      <c r="A857"/>
      <c r="B857"/>
      <c r="D857"/>
      <c r="E857"/>
      <c r="F857"/>
      <c r="G857"/>
    </row>
    <row r="858" spans="1:7" s="11" customFormat="1">
      <c r="A858"/>
      <c r="B858"/>
      <c r="D858"/>
      <c r="E858"/>
      <c r="F858"/>
      <c r="G858"/>
    </row>
    <row r="859" spans="1:7" s="11" customFormat="1">
      <c r="A859"/>
      <c r="B859"/>
      <c r="D859"/>
      <c r="E859"/>
      <c r="F859"/>
      <c r="G859"/>
    </row>
    <row r="860" spans="1:7" s="11" customFormat="1">
      <c r="A860"/>
      <c r="B860"/>
      <c r="D860"/>
      <c r="E860"/>
      <c r="F860"/>
      <c r="G860"/>
    </row>
    <row r="861" spans="1:7" s="11" customFormat="1">
      <c r="A861"/>
      <c r="B861"/>
      <c r="D861"/>
      <c r="E861"/>
      <c r="F861"/>
      <c r="G861"/>
    </row>
    <row r="862" spans="1:7" s="11" customFormat="1">
      <c r="A862"/>
      <c r="B862"/>
      <c r="D862"/>
      <c r="E862"/>
      <c r="F862"/>
      <c r="G862"/>
    </row>
    <row r="863" spans="1:7" s="11" customFormat="1">
      <c r="A863"/>
      <c r="B863"/>
      <c r="D863"/>
      <c r="E863"/>
      <c r="F863"/>
      <c r="G863"/>
    </row>
    <row r="864" spans="1:7" s="11" customFormat="1">
      <c r="A864"/>
      <c r="B864"/>
      <c r="D864"/>
      <c r="E864"/>
      <c r="F864"/>
      <c r="G864"/>
    </row>
    <row r="865" spans="1:7" s="11" customFormat="1">
      <c r="A865"/>
      <c r="B865"/>
      <c r="D865"/>
      <c r="E865"/>
      <c r="F865"/>
      <c r="G865"/>
    </row>
    <row r="866" spans="1:7" s="11" customFormat="1">
      <c r="A866"/>
      <c r="B866"/>
      <c r="D866"/>
      <c r="E866"/>
      <c r="F866"/>
      <c r="G866"/>
    </row>
    <row r="867" spans="1:7" s="11" customFormat="1">
      <c r="A867"/>
      <c r="B867"/>
      <c r="D867"/>
      <c r="E867"/>
      <c r="F867"/>
      <c r="G867"/>
    </row>
    <row r="868" spans="1:7" s="11" customFormat="1">
      <c r="A868"/>
      <c r="B868"/>
      <c r="D868"/>
      <c r="E868"/>
      <c r="F868"/>
      <c r="G868"/>
    </row>
    <row r="869" spans="1:7" s="11" customFormat="1">
      <c r="A869"/>
      <c r="B869"/>
      <c r="D869"/>
      <c r="E869"/>
      <c r="F869"/>
      <c r="G869"/>
    </row>
    <row r="870" spans="1:7" s="11" customFormat="1">
      <c r="A870"/>
      <c r="B870"/>
      <c r="D870"/>
      <c r="E870"/>
      <c r="F870"/>
      <c r="G870"/>
    </row>
    <row r="871" spans="1:7" s="11" customFormat="1">
      <c r="A871"/>
      <c r="B871"/>
      <c r="D871"/>
      <c r="E871"/>
      <c r="F871"/>
      <c r="G871"/>
    </row>
    <row r="872" spans="1:7" s="11" customFormat="1">
      <c r="A872"/>
      <c r="B872"/>
      <c r="D872"/>
      <c r="E872"/>
      <c r="F872"/>
      <c r="G872"/>
    </row>
    <row r="873" spans="1:7" s="11" customFormat="1">
      <c r="A873"/>
      <c r="B873"/>
      <c r="D873"/>
      <c r="E873"/>
      <c r="F873"/>
      <c r="G873"/>
    </row>
    <row r="874" spans="1:7" s="11" customFormat="1">
      <c r="A874"/>
      <c r="B874"/>
      <c r="D874"/>
      <c r="E874"/>
      <c r="F874"/>
      <c r="G874"/>
    </row>
    <row r="875" spans="1:7" s="11" customFormat="1">
      <c r="A875"/>
      <c r="B875"/>
      <c r="D875"/>
      <c r="E875"/>
      <c r="F875"/>
      <c r="G875"/>
    </row>
    <row r="876" spans="1:7" s="11" customFormat="1">
      <c r="A876"/>
      <c r="B876"/>
      <c r="D876"/>
      <c r="E876"/>
      <c r="F876"/>
      <c r="G876"/>
    </row>
    <row r="877" spans="1:7" s="11" customFormat="1">
      <c r="A877"/>
      <c r="B877"/>
      <c r="D877"/>
      <c r="E877"/>
      <c r="F877"/>
      <c r="G877"/>
    </row>
    <row r="878" spans="1:7" s="11" customFormat="1">
      <c r="A878"/>
      <c r="B878"/>
      <c r="D878"/>
      <c r="E878"/>
      <c r="F878"/>
      <c r="G878"/>
    </row>
    <row r="879" spans="1:7" s="11" customFormat="1">
      <c r="A879"/>
      <c r="B879"/>
      <c r="D879"/>
      <c r="E879"/>
      <c r="F879"/>
      <c r="G879"/>
    </row>
    <row r="880" spans="1:7" s="11" customFormat="1">
      <c r="A880"/>
      <c r="B880"/>
      <c r="D880"/>
      <c r="E880"/>
      <c r="F880"/>
      <c r="G880"/>
    </row>
    <row r="881" spans="1:7" s="11" customFormat="1">
      <c r="A881"/>
      <c r="B881"/>
      <c r="D881"/>
      <c r="E881"/>
      <c r="F881"/>
      <c r="G881"/>
    </row>
    <row r="882" spans="1:7" s="11" customFormat="1">
      <c r="A882"/>
      <c r="B882"/>
      <c r="D882"/>
      <c r="E882"/>
      <c r="F882"/>
      <c r="G882"/>
    </row>
    <row r="883" spans="1:7" s="11" customFormat="1">
      <c r="A883"/>
      <c r="B883"/>
      <c r="D883"/>
      <c r="E883"/>
      <c r="F883"/>
      <c r="G883"/>
    </row>
    <row r="884" spans="1:7" s="11" customFormat="1">
      <c r="A884"/>
      <c r="B884"/>
      <c r="D884"/>
      <c r="E884"/>
      <c r="F884"/>
      <c r="G884"/>
    </row>
    <row r="885" spans="1:7" s="11" customFormat="1">
      <c r="A885"/>
      <c r="B885"/>
      <c r="D885"/>
      <c r="E885"/>
      <c r="F885"/>
      <c r="G885"/>
    </row>
    <row r="886" spans="1:7" s="11" customFormat="1">
      <c r="A886"/>
      <c r="B886"/>
      <c r="D886"/>
      <c r="E886"/>
      <c r="F886"/>
      <c r="G886"/>
    </row>
    <row r="887" spans="1:7" s="11" customFormat="1">
      <c r="A887"/>
      <c r="B887"/>
      <c r="D887"/>
      <c r="E887"/>
      <c r="F887"/>
      <c r="G887"/>
    </row>
    <row r="888" spans="1:7" s="11" customFormat="1">
      <c r="A888"/>
      <c r="B888"/>
      <c r="D888"/>
      <c r="E888"/>
      <c r="F888"/>
      <c r="G888"/>
    </row>
    <row r="889" spans="1:7" s="11" customFormat="1">
      <c r="A889"/>
      <c r="B889"/>
      <c r="D889"/>
      <c r="E889"/>
      <c r="F889"/>
      <c r="G889"/>
    </row>
    <row r="890" spans="1:7" s="11" customFormat="1">
      <c r="A890"/>
      <c r="B890"/>
      <c r="D890"/>
      <c r="E890"/>
      <c r="F890"/>
      <c r="G890"/>
    </row>
    <row r="891" spans="1:7" s="11" customFormat="1">
      <c r="A891"/>
      <c r="B891"/>
      <c r="D891"/>
      <c r="E891"/>
      <c r="F891"/>
      <c r="G891"/>
    </row>
    <row r="892" spans="1:7" s="11" customFormat="1">
      <c r="A892"/>
      <c r="B892"/>
      <c r="D892"/>
      <c r="E892"/>
      <c r="F892"/>
      <c r="G892"/>
    </row>
    <row r="893" spans="1:7" s="11" customFormat="1">
      <c r="A893"/>
      <c r="B893"/>
      <c r="D893"/>
      <c r="E893"/>
      <c r="F893"/>
      <c r="G893"/>
    </row>
    <row r="894" spans="1:7" s="11" customFormat="1">
      <c r="A894"/>
      <c r="B894"/>
      <c r="D894"/>
      <c r="E894"/>
      <c r="F894"/>
      <c r="G894"/>
    </row>
    <row r="895" spans="1:7" s="11" customFormat="1">
      <c r="A895"/>
      <c r="B895"/>
      <c r="D895"/>
      <c r="E895"/>
      <c r="F895"/>
      <c r="G895"/>
    </row>
    <row r="896" spans="1:7" s="11" customFormat="1">
      <c r="A896"/>
      <c r="B896"/>
      <c r="D896"/>
      <c r="E896"/>
      <c r="F896"/>
      <c r="G896"/>
    </row>
    <row r="897" spans="1:7" s="11" customFormat="1">
      <c r="A897"/>
      <c r="B897"/>
      <c r="D897"/>
      <c r="E897"/>
      <c r="F897"/>
      <c r="G897"/>
    </row>
    <row r="898" spans="1:7" s="11" customFormat="1">
      <c r="A898"/>
      <c r="B898"/>
      <c r="D898"/>
      <c r="E898"/>
      <c r="F898"/>
      <c r="G898"/>
    </row>
    <row r="899" spans="1:7" s="11" customFormat="1">
      <c r="A899"/>
      <c r="B899"/>
      <c r="D899"/>
      <c r="E899"/>
      <c r="F899"/>
      <c r="G899"/>
    </row>
    <row r="900" spans="1:7" s="11" customFormat="1">
      <c r="A900"/>
      <c r="B900"/>
      <c r="D900"/>
      <c r="E900"/>
      <c r="F900"/>
      <c r="G900"/>
    </row>
    <row r="901" spans="1:7" s="11" customFormat="1">
      <c r="A901"/>
      <c r="B901"/>
      <c r="D901"/>
      <c r="E901"/>
      <c r="F901"/>
      <c r="G901"/>
    </row>
    <row r="902" spans="1:7" s="11" customFormat="1">
      <c r="A902"/>
      <c r="B902"/>
      <c r="D902"/>
      <c r="E902"/>
      <c r="F902"/>
      <c r="G902"/>
    </row>
    <row r="903" spans="1:7" s="11" customFormat="1">
      <c r="A903"/>
      <c r="B903"/>
      <c r="D903"/>
      <c r="E903"/>
      <c r="F903"/>
      <c r="G903"/>
    </row>
    <row r="904" spans="1:7" s="11" customFormat="1">
      <c r="A904"/>
      <c r="B904"/>
      <c r="D904"/>
      <c r="E904"/>
      <c r="F904"/>
      <c r="G904"/>
    </row>
    <row r="905" spans="1:7" s="11" customFormat="1">
      <c r="A905"/>
      <c r="B905"/>
      <c r="D905"/>
      <c r="E905"/>
      <c r="F905"/>
      <c r="G905"/>
    </row>
    <row r="906" spans="1:7" s="11" customFormat="1">
      <c r="A906"/>
      <c r="B906"/>
      <c r="D906"/>
      <c r="E906"/>
      <c r="F906"/>
      <c r="G906"/>
    </row>
    <row r="907" spans="1:7" s="11" customFormat="1">
      <c r="A907"/>
      <c r="B907"/>
      <c r="D907"/>
      <c r="E907"/>
      <c r="F907"/>
      <c r="G907"/>
    </row>
    <row r="908" spans="1:7" s="11" customFormat="1">
      <c r="A908"/>
      <c r="B908"/>
      <c r="D908"/>
      <c r="E908"/>
      <c r="F908"/>
      <c r="G908"/>
    </row>
    <row r="909" spans="1:7" s="11" customFormat="1">
      <c r="A909"/>
      <c r="B909"/>
      <c r="D909"/>
      <c r="E909"/>
      <c r="F909"/>
      <c r="G909"/>
    </row>
    <row r="910" spans="1:7" s="11" customFormat="1">
      <c r="A910"/>
      <c r="B910"/>
      <c r="D910"/>
      <c r="E910"/>
      <c r="F910"/>
      <c r="G910"/>
    </row>
    <row r="911" spans="1:7" s="11" customFormat="1">
      <c r="A911"/>
      <c r="B911"/>
      <c r="D911"/>
      <c r="E911"/>
      <c r="F911"/>
      <c r="G911"/>
    </row>
  </sheetData>
  <phoneticPr fontId="10"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3"/>
  <sheetViews>
    <sheetView topLeftCell="A80" workbookViewId="0">
      <selection activeCell="C99" sqref="C99:C123"/>
    </sheetView>
  </sheetViews>
  <sheetFormatPr defaultColWidth="11.07421875" defaultRowHeight="13.9"/>
  <cols>
    <col min="1" max="1" width="10.69140625" style="57"/>
  </cols>
  <sheetData>
    <row r="1" spans="1:3">
      <c r="A1" s="57" t="s">
        <v>36</v>
      </c>
    </row>
    <row r="2" spans="1:3">
      <c r="A2" s="57" t="s">
        <v>37</v>
      </c>
    </row>
    <row r="3" spans="1:3">
      <c r="A3" s="57" t="s">
        <v>38</v>
      </c>
    </row>
    <row r="4" spans="1:3">
      <c r="A4" s="57" t="s">
        <v>39</v>
      </c>
    </row>
    <row r="5" spans="1:3">
      <c r="A5" s="57" t="s">
        <v>40</v>
      </c>
    </row>
    <row r="6" spans="1:3">
      <c r="A6" s="57" t="s">
        <v>41</v>
      </c>
    </row>
    <row r="8" spans="1:3">
      <c r="A8" s="57" t="s">
        <v>54</v>
      </c>
      <c r="B8" t="s">
        <v>55</v>
      </c>
    </row>
    <row r="10" spans="1:3">
      <c r="A10" s="57" t="s">
        <v>44</v>
      </c>
    </row>
    <row r="11" spans="1:3">
      <c r="A11" s="57" t="s">
        <v>45</v>
      </c>
      <c r="B11" t="s">
        <v>54</v>
      </c>
    </row>
    <row r="12" spans="1:3">
      <c r="A12" s="66">
        <v>1914</v>
      </c>
      <c r="B12" s="115">
        <v>1</v>
      </c>
      <c r="C12" s="35">
        <f t="shared" ref="C12:C24" si="0">B12/100</f>
        <v>0.01</v>
      </c>
    </row>
    <row r="13" spans="1:3">
      <c r="A13" s="66">
        <v>1915</v>
      </c>
      <c r="B13" s="115">
        <v>1.9802</v>
      </c>
      <c r="C13" s="35">
        <f t="shared" si="0"/>
        <v>1.9802E-2</v>
      </c>
    </row>
    <row r="14" spans="1:3">
      <c r="A14" s="66">
        <f>A13+1</f>
        <v>1916</v>
      </c>
      <c r="B14" s="115">
        <v>12.621359999999999</v>
      </c>
      <c r="C14" s="35">
        <f t="shared" si="0"/>
        <v>0.12621359999999998</v>
      </c>
    </row>
    <row r="15" spans="1:3">
      <c r="A15" s="66">
        <f t="shared" ref="A15:A78" si="1">A14+1</f>
        <v>1917</v>
      </c>
      <c r="B15" s="115">
        <v>18.103449999999999</v>
      </c>
      <c r="C15" s="35">
        <f t="shared" si="0"/>
        <v>0.18103449999999999</v>
      </c>
    </row>
    <row r="16" spans="1:3">
      <c r="A16" s="66">
        <f t="shared" si="1"/>
        <v>1918</v>
      </c>
      <c r="B16" s="115">
        <v>20.43796</v>
      </c>
      <c r="C16" s="35">
        <f t="shared" si="0"/>
        <v>0.20437959999999999</v>
      </c>
    </row>
    <row r="17" spans="1:3">
      <c r="A17" s="66">
        <f t="shared" si="1"/>
        <v>1919</v>
      </c>
      <c r="B17" s="115">
        <v>14.545450000000001</v>
      </c>
      <c r="C17" s="35">
        <f t="shared" si="0"/>
        <v>0.14545450000000001</v>
      </c>
    </row>
    <row r="18" spans="1:3">
      <c r="A18" s="66">
        <f t="shared" si="1"/>
        <v>1920</v>
      </c>
      <c r="B18" s="115">
        <v>2.6455000000000002</v>
      </c>
      <c r="C18" s="35">
        <f t="shared" si="0"/>
        <v>2.6455000000000003E-2</v>
      </c>
    </row>
    <row r="19" spans="1:3">
      <c r="A19" s="66">
        <f t="shared" si="1"/>
        <v>1921</v>
      </c>
      <c r="B19" s="115">
        <v>-10.82474</v>
      </c>
      <c r="C19" s="35">
        <f t="shared" si="0"/>
        <v>-0.10824740000000001</v>
      </c>
    </row>
    <row r="20" spans="1:3">
      <c r="A20" s="66">
        <f t="shared" si="1"/>
        <v>1922</v>
      </c>
      <c r="B20" s="115">
        <v>-2.3121399999999999</v>
      </c>
      <c r="C20" s="35">
        <f t="shared" si="0"/>
        <v>-2.31214E-2</v>
      </c>
    </row>
    <row r="21" spans="1:3">
      <c r="A21" s="66">
        <f t="shared" si="1"/>
        <v>1923</v>
      </c>
      <c r="B21" s="115">
        <v>2.36686</v>
      </c>
      <c r="C21" s="35">
        <f t="shared" si="0"/>
        <v>2.3668599999999998E-2</v>
      </c>
    </row>
    <row r="22" spans="1:3">
      <c r="A22" s="66">
        <f t="shared" si="1"/>
        <v>1924</v>
      </c>
      <c r="B22" s="115">
        <v>0</v>
      </c>
      <c r="C22" s="35">
        <f t="shared" si="0"/>
        <v>0</v>
      </c>
    </row>
    <row r="23" spans="1:3">
      <c r="A23" s="66">
        <f t="shared" si="1"/>
        <v>1925</v>
      </c>
      <c r="B23" s="115">
        <v>3.46821</v>
      </c>
      <c r="C23" s="35">
        <f t="shared" si="0"/>
        <v>3.46821E-2</v>
      </c>
    </row>
    <row r="24" spans="1:3">
      <c r="A24" s="66">
        <f t="shared" si="1"/>
        <v>1926</v>
      </c>
      <c r="B24" s="115">
        <v>-1.1173200000000001</v>
      </c>
      <c r="C24" s="35">
        <f t="shared" si="0"/>
        <v>-1.1173200000000001E-2</v>
      </c>
    </row>
    <row r="25" spans="1:3">
      <c r="A25" s="66">
        <f t="shared" si="1"/>
        <v>1927</v>
      </c>
      <c r="B25" s="115">
        <v>-2.25989</v>
      </c>
      <c r="C25" s="35">
        <f>B25/100</f>
        <v>-2.2598899999999998E-2</v>
      </c>
    </row>
    <row r="26" spans="1:3">
      <c r="A26" s="66">
        <f t="shared" si="1"/>
        <v>1928</v>
      </c>
      <c r="B26" s="115">
        <v>-1.1560699999999999</v>
      </c>
      <c r="C26" s="35">
        <f t="shared" ref="C26:C89" si="2">B26/100</f>
        <v>-1.15607E-2</v>
      </c>
    </row>
    <row r="27" spans="1:3">
      <c r="A27" s="66">
        <f t="shared" si="1"/>
        <v>1929</v>
      </c>
      <c r="B27" s="115">
        <v>0.58479999999999999</v>
      </c>
      <c r="C27" s="35">
        <f t="shared" si="2"/>
        <v>5.8479999999999999E-3</v>
      </c>
    </row>
    <row r="28" spans="1:3">
      <c r="A28" s="66">
        <f t="shared" si="1"/>
        <v>1930</v>
      </c>
      <c r="B28" s="115">
        <v>-6.3953499999999996</v>
      </c>
      <c r="C28" s="35">
        <f t="shared" si="2"/>
        <v>-6.3953499999999996E-2</v>
      </c>
    </row>
    <row r="29" spans="1:3">
      <c r="A29" s="66">
        <f t="shared" si="1"/>
        <v>1931</v>
      </c>
      <c r="B29" s="115">
        <v>-9.31677</v>
      </c>
      <c r="C29" s="35">
        <f t="shared" si="2"/>
        <v>-9.3167700000000006E-2</v>
      </c>
    </row>
    <row r="30" spans="1:3">
      <c r="A30" s="66">
        <f t="shared" si="1"/>
        <v>1932</v>
      </c>
      <c r="B30" s="115">
        <v>-10.27397</v>
      </c>
      <c r="C30" s="35">
        <f t="shared" si="2"/>
        <v>-0.1027397</v>
      </c>
    </row>
    <row r="31" spans="1:3">
      <c r="A31" s="66">
        <f t="shared" si="1"/>
        <v>1933</v>
      </c>
      <c r="B31" s="115">
        <v>0.76336000000000004</v>
      </c>
      <c r="C31" s="35">
        <f t="shared" si="2"/>
        <v>7.6336000000000008E-3</v>
      </c>
    </row>
    <row r="32" spans="1:3">
      <c r="A32" s="66">
        <f t="shared" si="1"/>
        <v>1934</v>
      </c>
      <c r="B32" s="115">
        <v>1.51515</v>
      </c>
      <c r="C32" s="35">
        <f t="shared" si="2"/>
        <v>1.51515E-2</v>
      </c>
    </row>
    <row r="33" spans="1:5">
      <c r="A33" s="66">
        <f t="shared" si="1"/>
        <v>1935</v>
      </c>
      <c r="B33" s="115">
        <v>2.9850699999999999</v>
      </c>
      <c r="C33" s="35">
        <f t="shared" si="2"/>
        <v>2.9850699999999997E-2</v>
      </c>
    </row>
    <row r="34" spans="1:5">
      <c r="A34" s="66">
        <f t="shared" si="1"/>
        <v>1936</v>
      </c>
      <c r="B34" s="115">
        <v>1.4492799999999999</v>
      </c>
      <c r="C34" s="35">
        <f t="shared" si="2"/>
        <v>1.4492799999999998E-2</v>
      </c>
    </row>
    <row r="35" spans="1:5">
      <c r="A35" s="66">
        <f t="shared" si="1"/>
        <v>1937</v>
      </c>
      <c r="B35" s="115">
        <v>2.8571399999999998</v>
      </c>
      <c r="C35" s="35">
        <f t="shared" si="2"/>
        <v>2.8571399999999997E-2</v>
      </c>
    </row>
    <row r="36" spans="1:5">
      <c r="A36" s="66">
        <f t="shared" si="1"/>
        <v>1938</v>
      </c>
      <c r="B36" s="115">
        <v>-2.7777799999999999</v>
      </c>
      <c r="C36" s="35">
        <f t="shared" si="2"/>
        <v>-2.7777799999999998E-2</v>
      </c>
    </row>
    <row r="37" spans="1:5">
      <c r="A37" s="66">
        <f t="shared" si="1"/>
        <v>1939</v>
      </c>
      <c r="B37" s="115">
        <v>0</v>
      </c>
      <c r="C37" s="35">
        <f t="shared" si="2"/>
        <v>0</v>
      </c>
    </row>
    <row r="38" spans="1:5">
      <c r="A38" s="66">
        <f t="shared" si="1"/>
        <v>1940</v>
      </c>
      <c r="B38" s="115">
        <v>0.71428999999999998</v>
      </c>
      <c r="C38" s="35">
        <f t="shared" si="2"/>
        <v>7.1428999999999998E-3</v>
      </c>
    </row>
    <row r="39" spans="1:5">
      <c r="A39" s="66">
        <f t="shared" si="1"/>
        <v>1941</v>
      </c>
      <c r="B39" s="115">
        <v>9.9290800000000008</v>
      </c>
      <c r="C39" s="35">
        <f t="shared" si="2"/>
        <v>9.9290800000000012E-2</v>
      </c>
    </row>
    <row r="40" spans="1:5">
      <c r="A40" s="66">
        <f t="shared" si="1"/>
        <v>1942</v>
      </c>
      <c r="B40" s="115">
        <v>9.0322600000000008</v>
      </c>
      <c r="C40" s="35">
        <f t="shared" si="2"/>
        <v>9.0322600000000003E-2</v>
      </c>
    </row>
    <row r="41" spans="1:5">
      <c r="A41" s="66">
        <f t="shared" si="1"/>
        <v>1943</v>
      </c>
      <c r="B41" s="115">
        <v>2.95858</v>
      </c>
      <c r="C41" s="35">
        <f t="shared" si="2"/>
        <v>2.9585799999999999E-2</v>
      </c>
    </row>
    <row r="42" spans="1:5">
      <c r="A42" s="66">
        <f t="shared" si="1"/>
        <v>1944</v>
      </c>
      <c r="B42" s="115">
        <v>2.2988499999999998</v>
      </c>
      <c r="C42" s="35">
        <f t="shared" si="2"/>
        <v>2.2988499999999999E-2</v>
      </c>
    </row>
    <row r="43" spans="1:5">
      <c r="A43" s="66">
        <f t="shared" si="1"/>
        <v>1945</v>
      </c>
      <c r="B43" s="115">
        <v>2.2471899999999998</v>
      </c>
      <c r="C43" s="35">
        <f t="shared" si="2"/>
        <v>2.24719E-2</v>
      </c>
    </row>
    <row r="44" spans="1:5">
      <c r="A44" s="66">
        <f t="shared" si="1"/>
        <v>1946</v>
      </c>
      <c r="B44" s="115">
        <v>18.131869999999999</v>
      </c>
      <c r="C44" s="35">
        <f t="shared" si="2"/>
        <v>0.1813187</v>
      </c>
    </row>
    <row r="45" spans="1:5">
      <c r="A45" s="66">
        <f t="shared" si="1"/>
        <v>1947</v>
      </c>
      <c r="B45" s="115">
        <v>8.8372100000000007</v>
      </c>
      <c r="C45" s="35">
        <f t="shared" si="2"/>
        <v>8.8372100000000009E-2</v>
      </c>
    </row>
    <row r="46" spans="1:5">
      <c r="A46" s="66">
        <f t="shared" si="1"/>
        <v>1948</v>
      </c>
      <c r="B46" s="115">
        <v>2.9914499999999999</v>
      </c>
      <c r="C46" s="35">
        <f t="shared" si="2"/>
        <v>2.99145E-2</v>
      </c>
      <c r="E46" s="41"/>
    </row>
    <row r="47" spans="1:5">
      <c r="A47" s="66">
        <f t="shared" si="1"/>
        <v>1949</v>
      </c>
      <c r="B47" s="115">
        <v>-2.0746899999999999</v>
      </c>
      <c r="C47" s="35">
        <f t="shared" si="2"/>
        <v>-2.0746899999999999E-2</v>
      </c>
      <c r="E47" s="41"/>
    </row>
    <row r="48" spans="1:5">
      <c r="A48" s="66">
        <f t="shared" si="1"/>
        <v>1950</v>
      </c>
      <c r="B48" s="115">
        <v>5.9321999999999999</v>
      </c>
      <c r="C48" s="35">
        <f t="shared" si="2"/>
        <v>5.9322E-2</v>
      </c>
      <c r="E48" s="41"/>
    </row>
    <row r="49" spans="1:5">
      <c r="A49" s="66">
        <f t="shared" si="1"/>
        <v>1951</v>
      </c>
      <c r="B49" s="115">
        <v>6</v>
      </c>
      <c r="C49" s="35">
        <f t="shared" si="2"/>
        <v>0.06</v>
      </c>
      <c r="E49" s="41"/>
    </row>
    <row r="50" spans="1:5">
      <c r="A50" s="66">
        <f t="shared" si="1"/>
        <v>1952</v>
      </c>
      <c r="B50" s="115">
        <v>0.75471999999999995</v>
      </c>
      <c r="C50" s="35">
        <f t="shared" si="2"/>
        <v>7.5471999999999996E-3</v>
      </c>
      <c r="E50" s="41"/>
    </row>
    <row r="51" spans="1:5">
      <c r="A51" s="66">
        <f t="shared" si="1"/>
        <v>1953</v>
      </c>
      <c r="B51" s="115">
        <v>0.74905999999999995</v>
      </c>
      <c r="C51" s="35">
        <f t="shared" si="2"/>
        <v>7.4905999999999992E-3</v>
      </c>
      <c r="E51" s="41"/>
    </row>
    <row r="52" spans="1:5">
      <c r="A52" s="66">
        <f t="shared" si="1"/>
        <v>1954</v>
      </c>
      <c r="B52" s="115">
        <v>-0.74348999999999998</v>
      </c>
      <c r="C52" s="35">
        <f t="shared" si="2"/>
        <v>-7.4348999999999995E-3</v>
      </c>
      <c r="E52" s="41"/>
    </row>
    <row r="53" spans="1:5">
      <c r="A53" s="66">
        <f t="shared" si="1"/>
        <v>1955</v>
      </c>
      <c r="B53" s="115">
        <v>0.37452999999999997</v>
      </c>
      <c r="C53" s="35">
        <f t="shared" si="2"/>
        <v>3.7452999999999996E-3</v>
      </c>
      <c r="E53" s="41"/>
    </row>
    <row r="54" spans="1:5">
      <c r="A54" s="66">
        <f t="shared" si="1"/>
        <v>1956</v>
      </c>
      <c r="B54" s="115">
        <v>2.9850699999999999</v>
      </c>
      <c r="C54" s="35">
        <f t="shared" si="2"/>
        <v>2.9850699999999997E-2</v>
      </c>
      <c r="E54" s="41"/>
    </row>
    <row r="55" spans="1:5">
      <c r="A55" s="66">
        <f t="shared" si="1"/>
        <v>1957</v>
      </c>
      <c r="B55" s="115">
        <v>2.8985500000000002</v>
      </c>
      <c r="C55" s="35">
        <f t="shared" si="2"/>
        <v>2.8985500000000001E-2</v>
      </c>
      <c r="E55" s="41"/>
    </row>
    <row r="56" spans="1:5">
      <c r="A56" s="66">
        <f t="shared" si="1"/>
        <v>1958</v>
      </c>
      <c r="B56" s="115">
        <v>1.7605599999999999</v>
      </c>
      <c r="C56" s="35">
        <f t="shared" si="2"/>
        <v>1.7605599999999999E-2</v>
      </c>
      <c r="E56" s="41"/>
    </row>
    <row r="57" spans="1:5">
      <c r="A57" s="66">
        <f t="shared" si="1"/>
        <v>1959</v>
      </c>
      <c r="B57" s="115">
        <v>1.7301</v>
      </c>
      <c r="C57" s="35">
        <f t="shared" si="2"/>
        <v>1.7301E-2</v>
      </c>
      <c r="E57" s="41"/>
    </row>
    <row r="58" spans="1:5">
      <c r="A58" s="66">
        <f t="shared" si="1"/>
        <v>1960</v>
      </c>
      <c r="B58" s="115">
        <v>1.3605400000000001</v>
      </c>
      <c r="C58" s="35">
        <f t="shared" si="2"/>
        <v>1.36054E-2</v>
      </c>
      <c r="E58" s="41"/>
    </row>
    <row r="59" spans="1:5">
      <c r="A59" s="66">
        <f t="shared" si="1"/>
        <v>1961</v>
      </c>
      <c r="B59" s="115">
        <v>0.67113999999999996</v>
      </c>
      <c r="C59" s="35">
        <f t="shared" si="2"/>
        <v>6.7113999999999993E-3</v>
      </c>
      <c r="E59" s="41"/>
    </row>
    <row r="60" spans="1:5">
      <c r="A60" s="66">
        <f t="shared" si="1"/>
        <v>1962</v>
      </c>
      <c r="B60" s="115">
        <v>1.3333299999999999</v>
      </c>
      <c r="C60" s="35">
        <f t="shared" si="2"/>
        <v>1.3333299999999999E-2</v>
      </c>
      <c r="E60" s="41"/>
    </row>
    <row r="61" spans="1:5">
      <c r="A61" s="66">
        <f t="shared" si="1"/>
        <v>1963</v>
      </c>
      <c r="B61" s="115">
        <v>1.6447400000000001</v>
      </c>
      <c r="C61" s="35">
        <f t="shared" si="2"/>
        <v>1.6447400000000001E-2</v>
      </c>
      <c r="E61" s="41"/>
    </row>
    <row r="62" spans="1:5">
      <c r="A62" s="66">
        <f t="shared" si="1"/>
        <v>1964</v>
      </c>
      <c r="B62" s="115">
        <v>0.97087000000000001</v>
      </c>
      <c r="C62" s="35">
        <f t="shared" si="2"/>
        <v>9.7087000000000007E-3</v>
      </c>
      <c r="E62" s="41"/>
    </row>
    <row r="63" spans="1:5">
      <c r="A63" s="66">
        <f t="shared" si="1"/>
        <v>1965</v>
      </c>
      <c r="B63" s="115">
        <v>1.9230799999999999</v>
      </c>
      <c r="C63" s="35">
        <f t="shared" si="2"/>
        <v>1.9230799999999999E-2</v>
      </c>
      <c r="E63" s="41"/>
    </row>
    <row r="64" spans="1:5">
      <c r="A64" s="66">
        <f t="shared" si="1"/>
        <v>1966</v>
      </c>
      <c r="B64" s="115">
        <v>3.45912</v>
      </c>
      <c r="C64" s="35">
        <f t="shared" si="2"/>
        <v>3.4591200000000003E-2</v>
      </c>
      <c r="E64" s="41"/>
    </row>
    <row r="65" spans="1:5">
      <c r="A65" s="66">
        <f t="shared" si="1"/>
        <v>1967</v>
      </c>
      <c r="B65" s="115">
        <v>3.0395099999999999</v>
      </c>
      <c r="C65" s="35">
        <f t="shared" si="2"/>
        <v>3.0395099999999998E-2</v>
      </c>
      <c r="E65" s="41"/>
    </row>
    <row r="66" spans="1:5">
      <c r="A66" s="66">
        <f t="shared" si="1"/>
        <v>1968</v>
      </c>
      <c r="B66" s="115">
        <v>4.71976</v>
      </c>
      <c r="C66" s="35">
        <f t="shared" si="2"/>
        <v>4.7197599999999999E-2</v>
      </c>
      <c r="E66" s="41"/>
    </row>
    <row r="67" spans="1:5">
      <c r="A67" s="66">
        <f t="shared" si="1"/>
        <v>1969</v>
      </c>
      <c r="B67" s="115">
        <v>6.1971800000000004</v>
      </c>
      <c r="C67" s="35">
        <f t="shared" si="2"/>
        <v>6.19718E-2</v>
      </c>
      <c r="E67" s="41"/>
    </row>
    <row r="68" spans="1:5">
      <c r="A68" s="66">
        <f t="shared" si="1"/>
        <v>1970</v>
      </c>
      <c r="B68" s="115">
        <v>5.57029</v>
      </c>
      <c r="C68" s="35">
        <f t="shared" si="2"/>
        <v>5.57029E-2</v>
      </c>
      <c r="E68" s="41"/>
    </row>
    <row r="69" spans="1:5">
      <c r="A69" s="66">
        <f t="shared" si="1"/>
        <v>1971</v>
      </c>
      <c r="B69" s="115">
        <v>3.26633</v>
      </c>
      <c r="C69" s="35">
        <f t="shared" si="2"/>
        <v>3.2663299999999999E-2</v>
      </c>
      <c r="E69" s="41"/>
    </row>
    <row r="70" spans="1:5">
      <c r="A70" s="66">
        <f t="shared" si="1"/>
        <v>1972</v>
      </c>
      <c r="B70" s="115">
        <v>3.4063300000000001</v>
      </c>
      <c r="C70" s="35">
        <f t="shared" si="2"/>
        <v>3.4063299999999998E-2</v>
      </c>
      <c r="E70" s="41"/>
    </row>
    <row r="71" spans="1:5">
      <c r="A71" s="66">
        <f t="shared" si="1"/>
        <v>1973</v>
      </c>
      <c r="B71" s="115">
        <v>8.7058800000000005</v>
      </c>
      <c r="C71" s="35">
        <f t="shared" si="2"/>
        <v>8.7058800000000006E-2</v>
      </c>
      <c r="E71" s="41"/>
    </row>
    <row r="72" spans="1:5">
      <c r="A72" s="66">
        <f t="shared" si="1"/>
        <v>1974</v>
      </c>
      <c r="B72" s="115">
        <v>12.33766</v>
      </c>
      <c r="C72" s="35">
        <f t="shared" si="2"/>
        <v>0.1233766</v>
      </c>
      <c r="E72" s="41"/>
    </row>
    <row r="73" spans="1:5">
      <c r="A73" s="66">
        <f t="shared" si="1"/>
        <v>1975</v>
      </c>
      <c r="B73" s="115">
        <v>6.93642</v>
      </c>
      <c r="C73" s="35">
        <f t="shared" si="2"/>
        <v>6.9364200000000001E-2</v>
      </c>
      <c r="E73" s="41"/>
    </row>
    <row r="74" spans="1:5">
      <c r="A74" s="66">
        <f t="shared" si="1"/>
        <v>1976</v>
      </c>
      <c r="B74" s="115">
        <v>4.8648600000000002</v>
      </c>
      <c r="C74" s="35">
        <f t="shared" si="2"/>
        <v>4.86486E-2</v>
      </c>
      <c r="E74" s="41"/>
    </row>
    <row r="75" spans="1:5">
      <c r="A75" s="66">
        <f t="shared" si="1"/>
        <v>1977</v>
      </c>
      <c r="B75" s="115">
        <v>6.7010300000000003</v>
      </c>
      <c r="C75" s="35">
        <f t="shared" si="2"/>
        <v>6.7010300000000009E-2</v>
      </c>
      <c r="E75" s="41"/>
    </row>
    <row r="76" spans="1:5">
      <c r="A76" s="66">
        <f t="shared" si="1"/>
        <v>1978</v>
      </c>
      <c r="B76" s="115">
        <v>9.0177099999999992</v>
      </c>
      <c r="C76" s="35">
        <f t="shared" si="2"/>
        <v>9.0177099999999996E-2</v>
      </c>
      <c r="E76" s="41"/>
    </row>
    <row r="77" spans="1:5">
      <c r="A77" s="66">
        <f t="shared" si="1"/>
        <v>1979</v>
      </c>
      <c r="B77" s="115">
        <v>13.293939999999999</v>
      </c>
      <c r="C77" s="35">
        <f t="shared" si="2"/>
        <v>0.13293939999999999</v>
      </c>
      <c r="E77" s="41"/>
    </row>
    <row r="78" spans="1:5">
      <c r="A78" s="66">
        <f t="shared" si="1"/>
        <v>1980</v>
      </c>
      <c r="B78" s="115">
        <v>12.516299999999999</v>
      </c>
      <c r="C78" s="35">
        <f t="shared" si="2"/>
        <v>0.125163</v>
      </c>
      <c r="E78" s="41"/>
    </row>
    <row r="79" spans="1:5">
      <c r="A79" s="66">
        <f t="shared" ref="A79:A119" si="3">A78+1</f>
        <v>1981</v>
      </c>
      <c r="B79" s="115">
        <v>8.9223599999999994</v>
      </c>
      <c r="C79" s="35">
        <f t="shared" si="2"/>
        <v>8.92236E-2</v>
      </c>
      <c r="E79" s="41"/>
    </row>
    <row r="80" spans="1:5">
      <c r="A80" s="66">
        <f t="shared" si="3"/>
        <v>1982</v>
      </c>
      <c r="B80" s="115">
        <v>3.82979</v>
      </c>
      <c r="C80" s="35">
        <f t="shared" si="2"/>
        <v>3.8297900000000003E-2</v>
      </c>
      <c r="E80" s="41"/>
    </row>
    <row r="81" spans="1:5">
      <c r="A81" s="66">
        <f t="shared" si="3"/>
        <v>1983</v>
      </c>
      <c r="B81" s="115">
        <v>3.7909799999999998</v>
      </c>
      <c r="C81" s="35">
        <f t="shared" si="2"/>
        <v>3.79098E-2</v>
      </c>
      <c r="E81" s="41"/>
    </row>
    <row r="82" spans="1:5">
      <c r="A82" s="66">
        <f t="shared" si="3"/>
        <v>1984</v>
      </c>
      <c r="B82" s="115">
        <v>3.9486699999999999</v>
      </c>
      <c r="C82" s="35">
        <f t="shared" si="2"/>
        <v>3.94867E-2</v>
      </c>
      <c r="E82" s="41"/>
    </row>
    <row r="83" spans="1:5">
      <c r="A83" s="66">
        <f t="shared" si="3"/>
        <v>1985</v>
      </c>
      <c r="B83" s="115">
        <v>3.79867</v>
      </c>
      <c r="C83" s="35">
        <f t="shared" si="2"/>
        <v>3.7986699999999998E-2</v>
      </c>
      <c r="E83" s="41"/>
    </row>
    <row r="84" spans="1:5">
      <c r="A84" s="66">
        <f t="shared" si="3"/>
        <v>1986</v>
      </c>
      <c r="B84" s="115">
        <v>1.0979000000000001</v>
      </c>
      <c r="C84" s="35">
        <f t="shared" si="2"/>
        <v>1.0979000000000001E-2</v>
      </c>
      <c r="E84" s="41"/>
    </row>
    <row r="85" spans="1:5">
      <c r="A85" s="66">
        <f t="shared" si="3"/>
        <v>1987</v>
      </c>
      <c r="B85" s="115">
        <v>4.4343899999999996</v>
      </c>
      <c r="C85" s="35">
        <f t="shared" si="2"/>
        <v>4.4343899999999999E-2</v>
      </c>
      <c r="E85" s="41"/>
    </row>
    <row r="86" spans="1:5">
      <c r="A86" s="66">
        <f t="shared" si="3"/>
        <v>1988</v>
      </c>
      <c r="B86" s="115">
        <v>4.4194100000000001</v>
      </c>
      <c r="C86" s="35">
        <f t="shared" si="2"/>
        <v>4.41941E-2</v>
      </c>
      <c r="E86" s="41"/>
    </row>
    <row r="87" spans="1:5">
      <c r="A87" s="66">
        <f t="shared" si="3"/>
        <v>1989</v>
      </c>
      <c r="B87" s="115">
        <v>4.6473000000000004</v>
      </c>
      <c r="C87" s="35">
        <f t="shared" si="2"/>
        <v>4.6473000000000007E-2</v>
      </c>
      <c r="E87" s="41"/>
    </row>
    <row r="88" spans="1:5">
      <c r="A88" s="66">
        <f t="shared" si="3"/>
        <v>1990</v>
      </c>
      <c r="B88" s="115">
        <v>6.1062599999999998</v>
      </c>
      <c r="C88" s="35">
        <f t="shared" si="2"/>
        <v>6.1062599999999995E-2</v>
      </c>
      <c r="E88" s="41"/>
    </row>
    <row r="89" spans="1:5">
      <c r="A89" s="66">
        <f t="shared" si="3"/>
        <v>1991</v>
      </c>
      <c r="B89" s="115">
        <v>3.0642800000000001</v>
      </c>
      <c r="C89" s="35">
        <f t="shared" si="2"/>
        <v>3.0642800000000001E-2</v>
      </c>
      <c r="E89" s="41"/>
    </row>
    <row r="90" spans="1:5">
      <c r="A90" s="66">
        <f t="shared" si="3"/>
        <v>1992</v>
      </c>
      <c r="B90" s="115">
        <v>2.9006500000000002</v>
      </c>
      <c r="C90" s="35">
        <f t="shared" ref="C90:C123" si="4">B90/100</f>
        <v>2.9006500000000001E-2</v>
      </c>
      <c r="E90" s="41"/>
    </row>
    <row r="91" spans="1:5">
      <c r="A91" s="66">
        <f t="shared" si="3"/>
        <v>1993</v>
      </c>
      <c r="B91" s="115">
        <v>2.7484099999999998</v>
      </c>
      <c r="C91" s="35">
        <f t="shared" si="4"/>
        <v>2.7484099999999997E-2</v>
      </c>
      <c r="E91" s="41"/>
    </row>
    <row r="92" spans="1:5">
      <c r="A92" s="66">
        <f t="shared" si="3"/>
        <v>1994</v>
      </c>
      <c r="B92" s="115">
        <v>2.6749000000000001</v>
      </c>
      <c r="C92" s="35">
        <f t="shared" si="4"/>
        <v>2.6749000000000002E-2</v>
      </c>
      <c r="E92" s="41"/>
    </row>
    <row r="93" spans="1:5">
      <c r="A93" s="66">
        <f t="shared" si="3"/>
        <v>1995</v>
      </c>
      <c r="B93" s="115">
        <v>2.5384099999999998</v>
      </c>
      <c r="C93" s="35">
        <f t="shared" si="4"/>
        <v>2.53841E-2</v>
      </c>
      <c r="E93" s="41"/>
    </row>
    <row r="94" spans="1:5">
      <c r="A94" s="66">
        <f t="shared" si="3"/>
        <v>1996</v>
      </c>
      <c r="B94" s="115">
        <v>3.3224800000000001</v>
      </c>
      <c r="C94" s="35">
        <f t="shared" si="4"/>
        <v>3.3224799999999999E-2</v>
      </c>
      <c r="E94" s="41"/>
    </row>
    <row r="95" spans="1:5">
      <c r="A95" s="66">
        <f t="shared" si="3"/>
        <v>1997</v>
      </c>
      <c r="B95" s="115">
        <v>1.7023999999999999</v>
      </c>
      <c r="C95" s="35">
        <f t="shared" si="4"/>
        <v>1.7023999999999997E-2</v>
      </c>
      <c r="E95" s="41"/>
    </row>
    <row r="96" spans="1:5">
      <c r="A96" s="66">
        <f t="shared" si="3"/>
        <v>1998</v>
      </c>
      <c r="B96" s="115">
        <v>1.6119000000000001</v>
      </c>
      <c r="C96" s="35">
        <f t="shared" si="4"/>
        <v>1.6119000000000001E-2</v>
      </c>
      <c r="E96" s="41"/>
    </row>
    <row r="97" spans="1:5">
      <c r="A97" s="66">
        <f t="shared" si="3"/>
        <v>1999</v>
      </c>
      <c r="B97" s="115">
        <v>2.6845599999999998</v>
      </c>
      <c r="C97" s="35">
        <f t="shared" si="4"/>
        <v>2.6845599999999997E-2</v>
      </c>
      <c r="E97" s="41"/>
    </row>
    <row r="98" spans="1:5">
      <c r="A98" s="66">
        <f t="shared" si="3"/>
        <v>2000</v>
      </c>
      <c r="B98" s="115">
        <v>3.3868100000000001</v>
      </c>
      <c r="C98" s="35">
        <f t="shared" si="4"/>
        <v>3.3868099999999998E-2</v>
      </c>
      <c r="E98" s="41"/>
    </row>
    <row r="99" spans="1:5">
      <c r="A99" s="66">
        <f t="shared" si="3"/>
        <v>2001</v>
      </c>
      <c r="B99" s="115">
        <v>1.55172</v>
      </c>
      <c r="C99" s="35">
        <f t="shared" si="4"/>
        <v>1.55172E-2</v>
      </c>
      <c r="E99" s="41"/>
    </row>
    <row r="100" spans="1:5">
      <c r="A100" s="66">
        <f t="shared" si="3"/>
        <v>2002</v>
      </c>
      <c r="B100" s="115">
        <v>2.3769100000000001</v>
      </c>
      <c r="C100" s="35">
        <f t="shared" si="4"/>
        <v>2.3769100000000001E-2</v>
      </c>
      <c r="E100" s="41"/>
    </row>
    <row r="101" spans="1:5">
      <c r="A101" s="66">
        <f t="shared" si="3"/>
        <v>2003</v>
      </c>
      <c r="B101" s="115">
        <v>1.8794900000000001</v>
      </c>
      <c r="C101" s="35">
        <f t="shared" si="4"/>
        <v>1.87949E-2</v>
      </c>
      <c r="E101" s="41"/>
    </row>
    <row r="102" spans="1:5">
      <c r="A102" s="66">
        <f t="shared" si="3"/>
        <v>2004</v>
      </c>
      <c r="B102" s="115">
        <v>3.25556</v>
      </c>
      <c r="C102" s="35">
        <f t="shared" si="4"/>
        <v>3.2555599999999997E-2</v>
      </c>
      <c r="E102" s="41"/>
    </row>
    <row r="103" spans="1:5">
      <c r="A103" s="66">
        <f t="shared" si="3"/>
        <v>2005</v>
      </c>
      <c r="B103" s="115">
        <v>3.4156599999999999</v>
      </c>
      <c r="C103" s="35">
        <f t="shared" si="4"/>
        <v>3.4156600000000002E-2</v>
      </c>
      <c r="E103" s="41"/>
    </row>
    <row r="104" spans="1:5">
      <c r="A104" s="66">
        <f t="shared" si="3"/>
        <v>2006</v>
      </c>
      <c r="B104" s="115">
        <v>2.5406499999999999</v>
      </c>
      <c r="C104" s="35">
        <f t="shared" si="4"/>
        <v>2.5406499999999999E-2</v>
      </c>
      <c r="E104" s="41"/>
    </row>
    <row r="105" spans="1:5">
      <c r="A105" s="66">
        <f t="shared" si="3"/>
        <v>2007</v>
      </c>
      <c r="B105" s="115">
        <v>4.08127</v>
      </c>
      <c r="C105" s="35">
        <f t="shared" si="4"/>
        <v>4.08127E-2</v>
      </c>
      <c r="E105" s="41"/>
    </row>
    <row r="106" spans="1:5">
      <c r="A106" s="66">
        <f t="shared" si="3"/>
        <v>2008</v>
      </c>
      <c r="B106" s="115">
        <v>9.1410000000000005E-2</v>
      </c>
      <c r="C106" s="35">
        <f t="shared" si="4"/>
        <v>9.1410000000000005E-4</v>
      </c>
      <c r="E106" s="41"/>
    </row>
    <row r="107" spans="1:5">
      <c r="A107" s="66">
        <f t="shared" si="3"/>
        <v>2009</v>
      </c>
      <c r="B107" s="115">
        <v>2.72133</v>
      </c>
      <c r="C107" s="35">
        <f t="shared" si="4"/>
        <v>2.7213299999999999E-2</v>
      </c>
      <c r="E107" s="41"/>
    </row>
    <row r="108" spans="1:5">
      <c r="A108" s="66">
        <f t="shared" si="3"/>
        <v>2010</v>
      </c>
      <c r="B108" s="115">
        <v>1.4957199999999999</v>
      </c>
      <c r="C108" s="35">
        <f t="shared" si="4"/>
        <v>1.4957199999999999E-2</v>
      </c>
      <c r="E108" s="41"/>
    </row>
    <row r="109" spans="1:5">
      <c r="A109" s="66">
        <f t="shared" si="3"/>
        <v>2011</v>
      </c>
      <c r="B109" s="115">
        <v>2.9624199999999998</v>
      </c>
      <c r="C109" s="35">
        <f t="shared" si="4"/>
        <v>2.96242E-2</v>
      </c>
      <c r="E109" s="41"/>
    </row>
    <row r="110" spans="1:5">
      <c r="A110" s="66">
        <f t="shared" si="3"/>
        <v>2012</v>
      </c>
      <c r="B110" s="115">
        <v>1.74102</v>
      </c>
      <c r="C110" s="35">
        <f t="shared" si="4"/>
        <v>1.7410200000000001E-2</v>
      </c>
      <c r="E110" s="41"/>
    </row>
    <row r="111" spans="1:5">
      <c r="A111" s="66">
        <f t="shared" si="3"/>
        <v>2013</v>
      </c>
      <c r="B111" s="115">
        <v>1.5017400000000001</v>
      </c>
      <c r="C111" s="35">
        <f t="shared" si="4"/>
        <v>1.50174E-2</v>
      </c>
      <c r="E111" s="41"/>
    </row>
    <row r="112" spans="1:5">
      <c r="A112" s="66">
        <f t="shared" si="3"/>
        <v>2014</v>
      </c>
      <c r="B112" s="115">
        <v>0.75649</v>
      </c>
      <c r="C112" s="35">
        <f t="shared" si="4"/>
        <v>7.5649000000000003E-3</v>
      </c>
      <c r="E112" s="41"/>
    </row>
    <row r="113" spans="1:5">
      <c r="A113" s="66">
        <f t="shared" si="3"/>
        <v>2015</v>
      </c>
      <c r="B113" s="115">
        <v>0.72951999999999995</v>
      </c>
      <c r="C113" s="35">
        <f t="shared" si="4"/>
        <v>7.2951999999999991E-3</v>
      </c>
      <c r="E113" s="41"/>
    </row>
    <row r="114" spans="1:5">
      <c r="A114" s="66">
        <f t="shared" si="3"/>
        <v>2016</v>
      </c>
      <c r="B114" s="115">
        <v>2.0746199999999999</v>
      </c>
      <c r="C114" s="35">
        <f t="shared" si="4"/>
        <v>2.0746199999999999E-2</v>
      </c>
      <c r="E114" s="41"/>
    </row>
    <row r="115" spans="1:5">
      <c r="A115" s="66">
        <f t="shared" si="3"/>
        <v>2017</v>
      </c>
      <c r="B115" s="115">
        <v>2.1090800000000001</v>
      </c>
      <c r="C115" s="35">
        <f t="shared" si="4"/>
        <v>2.10908E-2</v>
      </c>
      <c r="E115" s="41"/>
    </row>
    <row r="116" spans="1:5">
      <c r="A116" s="66">
        <f t="shared" si="3"/>
        <v>2018</v>
      </c>
      <c r="B116" s="115">
        <v>1.9101600000000001</v>
      </c>
      <c r="C116" s="35">
        <f t="shared" si="4"/>
        <v>1.91016E-2</v>
      </c>
      <c r="E116" s="41"/>
    </row>
    <row r="117" spans="1:5">
      <c r="A117" s="66">
        <f t="shared" si="3"/>
        <v>2019</v>
      </c>
      <c r="B117" s="115">
        <v>2.2851300000000001</v>
      </c>
      <c r="C117" s="35">
        <f t="shared" si="4"/>
        <v>2.2851300000000001E-2</v>
      </c>
      <c r="E117" s="41"/>
    </row>
    <row r="118" spans="1:5">
      <c r="A118" s="66">
        <f t="shared" si="3"/>
        <v>2020</v>
      </c>
      <c r="B118" s="115">
        <v>1.3620099999999999</v>
      </c>
      <c r="C118" s="35">
        <f t="shared" si="4"/>
        <v>1.36201E-2</v>
      </c>
      <c r="E118" s="41"/>
    </row>
    <row r="119" spans="1:5">
      <c r="A119" s="66">
        <f t="shared" si="3"/>
        <v>2021</v>
      </c>
      <c r="B119" s="115">
        <v>7.0364000000000004</v>
      </c>
      <c r="C119" s="35">
        <f t="shared" si="4"/>
        <v>7.036400000000001E-2</v>
      </c>
      <c r="E119" s="41"/>
    </row>
    <row r="120" spans="1:5">
      <c r="A120" s="66">
        <v>2022</v>
      </c>
      <c r="B120" s="115">
        <v>6.4543999999999997</v>
      </c>
      <c r="C120" s="35">
        <f t="shared" si="4"/>
        <v>6.454399999999999E-2</v>
      </c>
      <c r="E120" s="41"/>
    </row>
    <row r="121" spans="1:5">
      <c r="A121" s="66">
        <v>2023</v>
      </c>
      <c r="B121" s="115">
        <v>3.3521200000000002</v>
      </c>
      <c r="C121" s="35">
        <f t="shared" si="4"/>
        <v>3.3521200000000001E-2</v>
      </c>
      <c r="E121" s="42"/>
    </row>
    <row r="122" spans="1:5">
      <c r="A122" s="66">
        <v>2024</v>
      </c>
      <c r="B122" s="115">
        <v>2.8880599999999998</v>
      </c>
      <c r="C122" s="35">
        <f t="shared" si="4"/>
        <v>2.8880599999999999E-2</v>
      </c>
    </row>
    <row r="123" spans="1:5">
      <c r="A123" s="66">
        <v>2025</v>
      </c>
      <c r="B123" s="115">
        <v>2.73508</v>
      </c>
      <c r="C123" s="35">
        <f t="shared" si="4"/>
        <v>2.7350799999999998E-2</v>
      </c>
    </row>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1"/>
  <sheetViews>
    <sheetView workbookViewId="0">
      <selection activeCell="H29" sqref="H29"/>
    </sheetView>
  </sheetViews>
  <sheetFormatPr defaultColWidth="11.07421875" defaultRowHeight="13.9"/>
  <cols>
    <col min="1" max="1" width="10.84375" bestFit="1" customWidth="1"/>
    <col min="2" max="2" width="13.84375" bestFit="1" customWidth="1"/>
    <col min="3" max="3" width="15.53515625" bestFit="1" customWidth="1"/>
    <col min="4" max="4" width="13.84375" bestFit="1" customWidth="1"/>
    <col min="5" max="5" width="15.53515625" bestFit="1" customWidth="1"/>
    <col min="7" max="7" width="10.84375" bestFit="1" customWidth="1"/>
    <col min="8" max="8" width="13.84375" bestFit="1" customWidth="1"/>
    <col min="9" max="9" width="15.53515625" bestFit="1" customWidth="1"/>
    <col min="10" max="10" width="13.84375" bestFit="1" customWidth="1"/>
    <col min="11" max="11" width="15.53515625" bestFit="1" customWidth="1"/>
  </cols>
  <sheetData>
    <row r="1" spans="1:11" ht="23.25" thickBot="1">
      <c r="A1" s="138" t="s">
        <v>121</v>
      </c>
      <c r="B1" s="139"/>
      <c r="C1" s="139"/>
      <c r="D1" s="139"/>
      <c r="E1" s="140"/>
      <c r="G1" s="138" t="s">
        <v>122</v>
      </c>
      <c r="H1" s="139"/>
      <c r="I1" s="139"/>
      <c r="J1" s="139"/>
      <c r="K1" s="140"/>
    </row>
    <row r="2" spans="1:11" ht="16.149999999999999">
      <c r="A2" s="26"/>
      <c r="B2" s="136" t="s">
        <v>3</v>
      </c>
      <c r="C2" s="136"/>
      <c r="D2" s="136" t="s">
        <v>0</v>
      </c>
      <c r="E2" s="137"/>
      <c r="G2" s="26"/>
      <c r="H2" s="136" t="s">
        <v>117</v>
      </c>
      <c r="I2" s="136"/>
      <c r="J2" s="136" t="s">
        <v>118</v>
      </c>
      <c r="K2" s="137"/>
    </row>
    <row r="3" spans="1:11" ht="16.149999999999999">
      <c r="A3" s="27"/>
      <c r="B3" s="15" t="s">
        <v>1</v>
      </c>
      <c r="C3" s="15" t="s">
        <v>2</v>
      </c>
      <c r="D3" s="15" t="s">
        <v>1</v>
      </c>
      <c r="E3" s="28" t="s">
        <v>2</v>
      </c>
      <c r="G3" s="27"/>
      <c r="H3" s="15" t="s">
        <v>119</v>
      </c>
      <c r="I3" s="15" t="s">
        <v>120</v>
      </c>
      <c r="J3" s="15" t="s">
        <v>119</v>
      </c>
      <c r="K3" s="28" t="s">
        <v>120</v>
      </c>
    </row>
    <row r="4" spans="1:11" ht="16.149999999999999">
      <c r="A4" s="70" t="e">
        <f>'Returns by year'!#REF!</f>
        <v>#REF!</v>
      </c>
      <c r="B4" s="69" t="e">
        <f>'Returns by year'!#REF!-'Returns by year'!#REF!</f>
        <v>#REF!</v>
      </c>
      <c r="C4" s="69" t="e">
        <f>'Returns by year'!#REF!</f>
        <v>#REF!</v>
      </c>
      <c r="D4" s="69" t="e">
        <f>'Returns by year'!#REF!</f>
        <v>#REF!</v>
      </c>
      <c r="E4" s="68" t="e">
        <f>'Returns by year'!#REF!</f>
        <v>#REF!</v>
      </c>
      <c r="G4" s="70" t="s">
        <v>91</v>
      </c>
      <c r="H4" s="69" t="e">
        <f>'Returns by year'!#REF!-'Returns by year'!#REF!</f>
        <v>#REF!</v>
      </c>
      <c r="I4" s="69" t="e">
        <f>'Returns by year'!#REF!-'Returns by year'!#REF!</f>
        <v>#REF!</v>
      </c>
      <c r="J4" s="69" t="e">
        <f>'Returns by year'!#REF!-'Returns by year'!#REF!</f>
        <v>#REF!</v>
      </c>
      <c r="K4" s="68" t="e">
        <f>'Returns by year'!#REF!-'Returns by year'!#REF!</f>
        <v>#REF!</v>
      </c>
    </row>
    <row r="5" spans="1:11" ht="16.149999999999999">
      <c r="A5" s="71" t="s">
        <v>22</v>
      </c>
      <c r="B5" s="72" t="e">
        <f>'Returns by year'!#REF!</f>
        <v>#REF!</v>
      </c>
      <c r="C5" s="72" t="e">
        <f>'Returns by year'!#REF!</f>
        <v>#REF!</v>
      </c>
      <c r="D5" s="73"/>
      <c r="E5" s="74"/>
      <c r="G5" s="71" t="s">
        <v>22</v>
      </c>
      <c r="H5" s="72" t="e">
        <f>'Returns by year'!#REF!</f>
        <v>#REF!</v>
      </c>
      <c r="I5" s="72" t="e">
        <f>'Returns by year'!#REF!</f>
        <v>#REF!</v>
      </c>
      <c r="J5" s="73"/>
      <c r="K5" s="74"/>
    </row>
    <row r="6" spans="1:11" ht="16.149999999999999">
      <c r="A6" s="70" t="e">
        <f>'Returns by year'!#REF!</f>
        <v>#REF!</v>
      </c>
      <c r="B6" s="69" t="e">
        <f>'Returns by year'!#REF!</f>
        <v>#REF!</v>
      </c>
      <c r="C6" s="69" t="e">
        <f>'Returns by year'!#REF!</f>
        <v>#REF!</v>
      </c>
      <c r="D6" s="69" t="e">
        <f>'Returns by year'!#REF!</f>
        <v>#REF!</v>
      </c>
      <c r="E6" s="68" t="e">
        <f>'Returns by year'!#REF!</f>
        <v>#REF!</v>
      </c>
      <c r="G6" s="70" t="s">
        <v>92</v>
      </c>
      <c r="H6" s="69" t="e">
        <f>'Returns by year'!#REF!-'Returns by year'!#REF!</f>
        <v>#REF!</v>
      </c>
      <c r="I6" s="69" t="e">
        <f>'Returns by year'!#REF!-'Returns by year'!#REF!</f>
        <v>#REF!</v>
      </c>
      <c r="J6" s="69" t="e">
        <f>'Returns by year'!#REF!-'Returns by year'!#REF!</f>
        <v>#REF!</v>
      </c>
      <c r="K6" s="68" t="e">
        <f>'Returns by year'!#REF!-'Returns by year'!#REF!</f>
        <v>#REF!</v>
      </c>
    </row>
    <row r="7" spans="1:11" ht="16.149999999999999">
      <c r="A7" s="71" t="s">
        <v>22</v>
      </c>
      <c r="B7" s="72" t="e">
        <f>'Returns by year'!#REF!</f>
        <v>#REF!</v>
      </c>
      <c r="C7" s="72" t="e">
        <f>'Returns by year'!#REF!</f>
        <v>#REF!</v>
      </c>
      <c r="D7" s="73"/>
      <c r="E7" s="74"/>
      <c r="G7" s="71" t="s">
        <v>22</v>
      </c>
      <c r="H7" s="72" t="e">
        <f>'Returns by year'!#REF!</f>
        <v>#REF!</v>
      </c>
      <c r="I7" s="72" t="e">
        <f>'Returns by year'!#REF!</f>
        <v>#REF!</v>
      </c>
      <c r="J7" s="73"/>
      <c r="K7" s="74"/>
    </row>
    <row r="8" spans="1:11" ht="16.149999999999999">
      <c r="A8" s="70" t="e">
        <f>'Returns by year'!#REF!</f>
        <v>#REF!</v>
      </c>
      <c r="B8" s="69" t="e">
        <f>'Returns by year'!#REF!</f>
        <v>#REF!</v>
      </c>
      <c r="C8" s="69" t="e">
        <f>'Returns by year'!#REF!</f>
        <v>#REF!</v>
      </c>
      <c r="D8" s="69" t="e">
        <f>'Returns by year'!#REF!</f>
        <v>#REF!</v>
      </c>
      <c r="E8" s="68" t="e">
        <f>'Returns by year'!#REF!</f>
        <v>#REF!</v>
      </c>
      <c r="G8" s="70" t="s">
        <v>93</v>
      </c>
      <c r="H8" s="69" t="e">
        <f>'Returns by year'!#REF!-'Returns by year'!#REF!</f>
        <v>#REF!</v>
      </c>
      <c r="I8" s="69" t="e">
        <f>'Returns by year'!#REF!-'Returns by year'!#REF!</f>
        <v>#REF!</v>
      </c>
      <c r="J8" s="69" t="e">
        <f>'Returns by year'!#REF!-'Returns by year'!#REF!</f>
        <v>#REF!</v>
      </c>
      <c r="K8" s="68" t="e">
        <f>'Returns by year'!#REF!-'Returns by year'!#REF!</f>
        <v>#REF!</v>
      </c>
    </row>
    <row r="9" spans="1:11" ht="16.5" thickBot="1">
      <c r="A9" s="75" t="s">
        <v>22</v>
      </c>
      <c r="B9" s="76" t="e">
        <f>'Returns by year'!#REF!</f>
        <v>#REF!</v>
      </c>
      <c r="C9" s="76" t="e">
        <f>'Returns by year'!#REF!</f>
        <v>#REF!</v>
      </c>
      <c r="D9" s="77"/>
      <c r="E9" s="78"/>
      <c r="G9" s="75" t="s">
        <v>22</v>
      </c>
      <c r="H9" s="76" t="e">
        <f>'Returns by year'!#REF!</f>
        <v>#REF!</v>
      </c>
      <c r="I9" s="76">
        <v>3.8564856793299435E-2</v>
      </c>
      <c r="J9" s="77"/>
      <c r="K9" s="78"/>
    </row>
    <row r="20" spans="3:3">
      <c r="C20" s="113"/>
    </row>
    <row r="21" spans="3:3">
      <c r="C21" s="114"/>
    </row>
  </sheetData>
  <mergeCells count="6">
    <mergeCell ref="B2:C2"/>
    <mergeCell ref="D2:E2"/>
    <mergeCell ref="H2:I2"/>
    <mergeCell ref="J2:K2"/>
    <mergeCell ref="A1:E1"/>
    <mergeCell ref="G1:K1"/>
  </mergeCells>
  <phoneticPr fontId="10"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5"/>
  <sheetViews>
    <sheetView topLeftCell="A107" workbookViewId="0">
      <selection activeCell="B144" sqref="B144:B145"/>
    </sheetView>
  </sheetViews>
  <sheetFormatPr defaultColWidth="11.07421875" defaultRowHeight="16.149999999999999"/>
  <cols>
    <col min="2" max="2" width="10.69140625" style="22"/>
  </cols>
  <sheetData>
    <row r="1" spans="1:8" ht="17.649999999999999">
      <c r="A1" s="43" t="s">
        <v>46</v>
      </c>
      <c r="F1" s="43" t="s">
        <v>36</v>
      </c>
    </row>
    <row r="2" spans="1:8">
      <c r="F2" t="s">
        <v>37</v>
      </c>
    </row>
    <row r="3" spans="1:8">
      <c r="F3" t="s">
        <v>38</v>
      </c>
    </row>
    <row r="4" spans="1:8">
      <c r="F4" t="s">
        <v>39</v>
      </c>
    </row>
    <row r="5" spans="1:8">
      <c r="F5" t="s">
        <v>40</v>
      </c>
    </row>
    <row r="6" spans="1:8">
      <c r="F6" t="s">
        <v>41</v>
      </c>
    </row>
    <row r="8" spans="1:8">
      <c r="F8" t="s">
        <v>42</v>
      </c>
      <c r="G8" t="s">
        <v>43</v>
      </c>
    </row>
    <row r="9" spans="1:8">
      <c r="A9" s="39" t="s">
        <v>31</v>
      </c>
      <c r="B9" s="22" t="s">
        <v>32</v>
      </c>
      <c r="C9" t="s">
        <v>34</v>
      </c>
    </row>
    <row r="10" spans="1:8">
      <c r="A10" s="39">
        <v>1890</v>
      </c>
      <c r="B10" s="117">
        <v>3.557296</v>
      </c>
      <c r="F10" t="s">
        <v>44</v>
      </c>
    </row>
    <row r="11" spans="1:8">
      <c r="A11" s="39">
        <v>1891</v>
      </c>
      <c r="B11" s="117">
        <v>3.209111</v>
      </c>
      <c r="C11" s="35">
        <f t="shared" ref="C11:C47" si="0">B11/B10-1</f>
        <v>-9.7879119421043437E-2</v>
      </c>
      <c r="F11" t="s">
        <v>45</v>
      </c>
      <c r="G11" t="s">
        <v>42</v>
      </c>
    </row>
    <row r="12" spans="1:8">
      <c r="A12" s="39">
        <v>1892</v>
      </c>
      <c r="B12" s="117">
        <v>3.2671420000000002</v>
      </c>
      <c r="C12" s="35">
        <f t="shared" si="0"/>
        <v>1.8083201235482349E-2</v>
      </c>
      <c r="F12" s="40">
        <v>30681</v>
      </c>
      <c r="G12" s="115">
        <v>7.2164299999999999</v>
      </c>
      <c r="H12" s="35">
        <f>G12/100</f>
        <v>7.2164300000000001E-2</v>
      </c>
    </row>
    <row r="13" spans="1:8">
      <c r="A13" s="39">
        <v>1893</v>
      </c>
      <c r="B13" s="117">
        <v>3.4064160000000001</v>
      </c>
      <c r="C13" s="35">
        <f t="shared" si="0"/>
        <v>4.26286950490673E-2</v>
      </c>
      <c r="F13" s="40">
        <v>31047</v>
      </c>
      <c r="G13" s="115">
        <v>4.3943399999999997</v>
      </c>
      <c r="H13" s="35">
        <f t="shared" ref="H13:H48" si="1">G13/100</f>
        <v>4.3943399999999994E-2</v>
      </c>
    </row>
    <row r="14" spans="1:8">
      <c r="A14" s="39">
        <v>1894</v>
      </c>
      <c r="B14" s="117">
        <v>3.9693160000000001</v>
      </c>
      <c r="C14" s="35">
        <f t="shared" si="0"/>
        <v>0.16524699273371191</v>
      </c>
      <c r="F14" s="40">
        <v>31412</v>
      </c>
      <c r="G14" s="115">
        <v>-0.68762000000000001</v>
      </c>
      <c r="H14" s="35">
        <f t="shared" si="1"/>
        <v>-6.8761999999999998E-3</v>
      </c>
    </row>
    <row r="15" spans="1:8">
      <c r="A15" s="39">
        <v>1895</v>
      </c>
      <c r="B15" s="117">
        <v>3.6037210000000002</v>
      </c>
      <c r="C15" s="35">
        <f t="shared" si="0"/>
        <v>-9.2105289677113067E-2</v>
      </c>
      <c r="F15" s="40">
        <v>31777</v>
      </c>
      <c r="G15" s="115">
        <v>-0.17111999999999999</v>
      </c>
      <c r="H15" s="35">
        <f t="shared" si="1"/>
        <v>-1.7112E-3</v>
      </c>
    </row>
    <row r="16" spans="1:8">
      <c r="A16" s="39">
        <v>1896</v>
      </c>
      <c r="B16" s="117">
        <v>3.122064</v>
      </c>
      <c r="C16" s="35">
        <f t="shared" si="0"/>
        <v>-0.13365546333914313</v>
      </c>
      <c r="F16" s="40">
        <v>32142</v>
      </c>
      <c r="G16" s="115">
        <v>0.82410000000000005</v>
      </c>
      <c r="H16" s="35">
        <f t="shared" si="1"/>
        <v>8.2410000000000001E-3</v>
      </c>
    </row>
    <row r="17" spans="1:8">
      <c r="A17" s="39">
        <v>1897</v>
      </c>
      <c r="B17" s="117">
        <v>3.2207170000000001</v>
      </c>
      <c r="C17" s="35">
        <f t="shared" si="0"/>
        <v>3.1598647561356774E-2</v>
      </c>
      <c r="F17" s="40">
        <v>32508</v>
      </c>
      <c r="G17" s="115">
        <v>2.1578499999999998</v>
      </c>
      <c r="H17" s="35">
        <f t="shared" si="1"/>
        <v>2.1578499999999997E-2</v>
      </c>
    </row>
    <row r="18" spans="1:8">
      <c r="A18" s="39">
        <v>1898</v>
      </c>
      <c r="B18" s="117">
        <v>3.4296280000000001</v>
      </c>
      <c r="C18" s="35">
        <f t="shared" si="0"/>
        <v>6.4864749060535409E-2</v>
      </c>
      <c r="F18" s="40">
        <v>32873</v>
      </c>
      <c r="G18" s="115">
        <v>2.5129600000000001</v>
      </c>
      <c r="H18" s="35">
        <f t="shared" si="1"/>
        <v>2.5129600000000002E-2</v>
      </c>
    </row>
    <row r="19" spans="1:8">
      <c r="A19" s="39">
        <v>1899</v>
      </c>
      <c r="B19" s="117">
        <v>3.2787480000000002</v>
      </c>
      <c r="C19" s="35">
        <f t="shared" si="0"/>
        <v>-4.3993109456769042E-2</v>
      </c>
      <c r="F19" s="40">
        <v>33238</v>
      </c>
      <c r="G19" s="115">
        <v>1.792</v>
      </c>
      <c r="H19" s="35">
        <f t="shared" si="1"/>
        <v>1.7920000000000002E-2</v>
      </c>
    </row>
    <row r="20" spans="1:8">
      <c r="A20" s="39">
        <v>1900</v>
      </c>
      <c r="B20" s="117">
        <v>3.748799</v>
      </c>
      <c r="C20" s="35">
        <f t="shared" si="0"/>
        <v>0.1433629543960071</v>
      </c>
      <c r="F20" s="40">
        <v>33603</v>
      </c>
      <c r="G20" s="115">
        <v>2.4253800000000001</v>
      </c>
      <c r="H20" s="35">
        <f t="shared" si="1"/>
        <v>2.4253800000000002E-2</v>
      </c>
    </row>
    <row r="21" spans="1:8">
      <c r="A21" s="39">
        <v>1901</v>
      </c>
      <c r="B21" s="117">
        <v>3.1452770000000001</v>
      </c>
      <c r="C21" s="35">
        <f t="shared" si="0"/>
        <v>-0.16099075997406098</v>
      </c>
      <c r="F21" s="40">
        <v>33969</v>
      </c>
      <c r="G21" s="115">
        <v>4.0232400000000004</v>
      </c>
      <c r="H21" s="35">
        <f t="shared" si="1"/>
        <v>4.0232400000000001E-2</v>
      </c>
    </row>
    <row r="22" spans="1:8">
      <c r="A22" s="39">
        <v>1902</v>
      </c>
      <c r="B22" s="117">
        <v>3.7081770000000001</v>
      </c>
      <c r="C22" s="35">
        <f t="shared" si="0"/>
        <v>0.17896674919251954</v>
      </c>
      <c r="F22" s="40">
        <v>34334</v>
      </c>
      <c r="G22" s="115">
        <v>6.4410600000000002</v>
      </c>
      <c r="H22" s="35">
        <f t="shared" si="1"/>
        <v>6.4410599999999998E-2</v>
      </c>
    </row>
    <row r="23" spans="1:8">
      <c r="A23" s="39">
        <v>1903</v>
      </c>
      <c r="B23" s="117">
        <v>3.7662079999999998</v>
      </c>
      <c r="C23" s="35">
        <f t="shared" si="0"/>
        <v>1.564946872816475E-2</v>
      </c>
      <c r="F23" s="40">
        <v>34699</v>
      </c>
      <c r="G23" s="115">
        <v>7.6793300000000002</v>
      </c>
      <c r="H23" s="35">
        <f t="shared" si="1"/>
        <v>7.6793300000000009E-2</v>
      </c>
    </row>
    <row r="24" spans="1:8">
      <c r="A24" s="39">
        <v>1904</v>
      </c>
      <c r="B24" s="117">
        <v>3.9403009999999998</v>
      </c>
      <c r="C24" s="35">
        <f t="shared" si="0"/>
        <v>4.6225009346270829E-2</v>
      </c>
      <c r="F24" s="40">
        <v>35064</v>
      </c>
      <c r="G24" s="115">
        <v>9.2925599999999999</v>
      </c>
      <c r="H24" s="35">
        <f t="shared" si="1"/>
        <v>9.2925599999999997E-2</v>
      </c>
    </row>
    <row r="25" spans="1:8">
      <c r="A25" s="39">
        <v>1905</v>
      </c>
      <c r="B25" s="117">
        <v>3.4528409999999998</v>
      </c>
      <c r="C25" s="35">
        <f t="shared" si="0"/>
        <v>-0.12371136113713144</v>
      </c>
      <c r="F25" s="40">
        <v>35430</v>
      </c>
      <c r="G25" s="115">
        <v>6.6760400000000004</v>
      </c>
      <c r="H25" s="35">
        <f t="shared" si="1"/>
        <v>6.6760399999999998E-2</v>
      </c>
    </row>
    <row r="26" spans="1:8">
      <c r="A26" s="39">
        <v>1906</v>
      </c>
      <c r="B26" s="117">
        <v>4.096984</v>
      </c>
      <c r="C26" s="35">
        <f t="shared" si="0"/>
        <v>0.18655449237309218</v>
      </c>
      <c r="F26" s="40">
        <v>35795</v>
      </c>
      <c r="G26" s="115">
        <v>9.5618499999999997</v>
      </c>
      <c r="H26" s="35">
        <f t="shared" si="1"/>
        <v>9.5618499999999995E-2</v>
      </c>
    </row>
    <row r="27" spans="1:8">
      <c r="A27" s="39">
        <v>1907</v>
      </c>
      <c r="B27" s="117">
        <v>4.5206099999999996</v>
      </c>
      <c r="C27" s="35">
        <f t="shared" si="0"/>
        <v>0.1033994762976862</v>
      </c>
      <c r="F27" s="40">
        <v>36160</v>
      </c>
      <c r="G27" s="115">
        <v>9.8126700000000007</v>
      </c>
      <c r="H27" s="35">
        <f t="shared" si="1"/>
        <v>9.8126700000000011E-2</v>
      </c>
    </row>
    <row r="28" spans="1:8">
      <c r="A28" s="39">
        <v>1908</v>
      </c>
      <c r="B28" s="117">
        <v>4.0795750000000002</v>
      </c>
      <c r="C28" s="35">
        <f t="shared" si="0"/>
        <v>-9.7560948633038325E-2</v>
      </c>
      <c r="F28" s="40">
        <v>36525</v>
      </c>
      <c r="G28" s="115">
        <v>13.636139999999999</v>
      </c>
      <c r="H28" s="35">
        <f t="shared" si="1"/>
        <v>0.13636139999999999</v>
      </c>
    </row>
    <row r="29" spans="1:8">
      <c r="A29" s="39">
        <v>1909</v>
      </c>
      <c r="B29" s="117">
        <v>3.9867249999999999</v>
      </c>
      <c r="C29" s="35">
        <f t="shared" si="0"/>
        <v>-2.2759723745733429E-2</v>
      </c>
      <c r="F29" s="40">
        <v>36891</v>
      </c>
      <c r="G29" s="115">
        <v>13.512409999999999</v>
      </c>
      <c r="H29" s="35">
        <f t="shared" si="1"/>
        <v>0.1351241</v>
      </c>
    </row>
    <row r="30" spans="1:8">
      <c r="A30" s="39">
        <v>1910</v>
      </c>
      <c r="B30" s="117">
        <v>4.3058959999999997</v>
      </c>
      <c r="C30" s="35">
        <f t="shared" si="0"/>
        <v>8.005844396089512E-2</v>
      </c>
      <c r="F30" s="40">
        <v>37256</v>
      </c>
      <c r="G30" s="115">
        <v>1.73173</v>
      </c>
      <c r="H30" s="35">
        <f t="shared" si="1"/>
        <v>1.7317300000000001E-2</v>
      </c>
    </row>
    <row r="31" spans="1:8">
      <c r="A31" s="39">
        <v>1911</v>
      </c>
      <c r="B31" s="117">
        <v>4.2072430000000001</v>
      </c>
      <c r="C31" s="35">
        <f t="shared" si="0"/>
        <v>-2.2911143232442144E-2</v>
      </c>
      <c r="F31" s="40">
        <v>37621</v>
      </c>
      <c r="G31" s="115">
        <v>-5.3981899999999996</v>
      </c>
      <c r="H31" s="35">
        <f t="shared" si="1"/>
        <v>-5.3981899999999999E-2</v>
      </c>
    </row>
    <row r="32" spans="1:8">
      <c r="A32" s="39">
        <v>1912</v>
      </c>
      <c r="B32" s="117">
        <v>4.3697299999999997</v>
      </c>
      <c r="C32" s="35">
        <f t="shared" si="0"/>
        <v>3.8620778500314756E-2</v>
      </c>
      <c r="F32" s="40">
        <v>37986</v>
      </c>
      <c r="G32" s="115">
        <v>-11.99628</v>
      </c>
      <c r="H32" s="35">
        <f t="shared" si="1"/>
        <v>-0.11996280000000001</v>
      </c>
    </row>
    <row r="33" spans="1:8">
      <c r="A33" s="39">
        <v>1913</v>
      </c>
      <c r="B33" s="117">
        <v>4.3697299999999997</v>
      </c>
      <c r="C33" s="35">
        <f t="shared" si="0"/>
        <v>0</v>
      </c>
      <c r="F33" s="40">
        <v>38352</v>
      </c>
      <c r="G33" s="115">
        <v>-3.8533400000000002</v>
      </c>
      <c r="H33" s="35">
        <f t="shared" si="1"/>
        <v>-3.8533400000000002E-2</v>
      </c>
    </row>
    <row r="34" spans="1:8">
      <c r="A34" s="39">
        <v>1914</v>
      </c>
      <c r="B34" s="117">
        <v>4.532216</v>
      </c>
      <c r="C34" s="35">
        <f t="shared" si="0"/>
        <v>3.718444846706781E-2</v>
      </c>
      <c r="F34" s="40">
        <v>38717</v>
      </c>
      <c r="G34" s="115">
        <v>-4.1216400000000002</v>
      </c>
      <c r="H34" s="35">
        <f t="shared" si="1"/>
        <v>-4.12164E-2</v>
      </c>
    </row>
    <row r="35" spans="1:8">
      <c r="A35" s="39">
        <v>1915</v>
      </c>
      <c r="B35" s="117">
        <v>4.1608179999999999</v>
      </c>
      <c r="C35" s="35">
        <f t="shared" si="0"/>
        <v>-8.194622674647456E-2</v>
      </c>
      <c r="F35" s="40">
        <v>39082</v>
      </c>
      <c r="G35" s="115">
        <v>-3.8863599999999998</v>
      </c>
      <c r="H35" s="35">
        <f t="shared" si="1"/>
        <v>-3.8863599999999998E-2</v>
      </c>
    </row>
    <row r="36" spans="1:8">
      <c r="A36" s="39">
        <v>1916</v>
      </c>
      <c r="B36" s="117">
        <v>4.5554290000000002</v>
      </c>
      <c r="C36" s="35">
        <f t="shared" si="0"/>
        <v>9.4839764680887395E-2</v>
      </c>
      <c r="F36" s="40">
        <v>39447</v>
      </c>
      <c r="G36" s="115">
        <v>6.4385300000000001</v>
      </c>
      <c r="H36" s="35">
        <f t="shared" si="1"/>
        <v>6.4385300000000006E-2</v>
      </c>
    </row>
    <row r="37" spans="1:8">
      <c r="A37" s="39">
        <v>1917</v>
      </c>
      <c r="B37" s="117">
        <v>4.6482780000000004</v>
      </c>
      <c r="C37" s="35">
        <f t="shared" si="0"/>
        <v>2.0382054028281527E-2</v>
      </c>
      <c r="F37" s="40">
        <v>39813</v>
      </c>
      <c r="G37" s="115">
        <v>10.719670000000001</v>
      </c>
      <c r="H37" s="35">
        <f t="shared" si="1"/>
        <v>0.10719670000000001</v>
      </c>
    </row>
    <row r="38" spans="1:8">
      <c r="A38" s="39">
        <v>1918</v>
      </c>
      <c r="B38" s="117">
        <v>4.9442360000000001</v>
      </c>
      <c r="C38" s="35">
        <f t="shared" si="0"/>
        <v>6.3670460329610101E-2</v>
      </c>
      <c r="F38" s="40">
        <v>40178</v>
      </c>
      <c r="G38" s="115">
        <v>4.4996799999999997</v>
      </c>
      <c r="H38" s="35">
        <f t="shared" si="1"/>
        <v>4.4996799999999997E-2</v>
      </c>
    </row>
    <row r="39" spans="1:8">
      <c r="A39" s="39">
        <v>1919</v>
      </c>
      <c r="B39" s="117">
        <v>5.4374989999999999</v>
      </c>
      <c r="C39" s="35">
        <f t="shared" si="0"/>
        <v>9.976526201419178E-2</v>
      </c>
      <c r="F39" s="40">
        <v>40543</v>
      </c>
      <c r="G39" s="115">
        <v>5.1927099999999999</v>
      </c>
      <c r="H39" s="35">
        <f t="shared" si="1"/>
        <v>5.1927099999999997E-2</v>
      </c>
    </row>
    <row r="40" spans="1:8">
      <c r="A40" s="39">
        <v>1920</v>
      </c>
      <c r="B40" s="117">
        <v>5.9597769999999999</v>
      </c>
      <c r="C40" s="35">
        <f t="shared" si="0"/>
        <v>9.6051144101359842E-2</v>
      </c>
      <c r="F40" s="40">
        <v>40908</v>
      </c>
      <c r="G40" s="115">
        <v>5.3053299999999997</v>
      </c>
      <c r="H40" s="35">
        <f t="shared" si="1"/>
        <v>5.3053299999999998E-2</v>
      </c>
    </row>
    <row r="41" spans="1:8">
      <c r="A41" s="39">
        <v>1921</v>
      </c>
      <c r="B41" s="117">
        <v>5.8263059999999998</v>
      </c>
      <c r="C41" s="35">
        <f t="shared" si="0"/>
        <v>-2.2395301032236636E-2</v>
      </c>
      <c r="F41" s="40">
        <v>41274</v>
      </c>
      <c r="G41" s="115">
        <v>6.2014199999999997</v>
      </c>
      <c r="H41" s="35">
        <f t="shared" si="1"/>
        <v>6.2014199999999998E-2</v>
      </c>
    </row>
    <row r="42" spans="1:8">
      <c r="A42" s="39">
        <v>1922</v>
      </c>
      <c r="B42" s="117">
        <v>5.9075490000000004</v>
      </c>
      <c r="C42" s="35">
        <f t="shared" si="0"/>
        <v>1.3944169770691905E-2</v>
      </c>
      <c r="F42" s="40">
        <v>41639</v>
      </c>
      <c r="G42" s="115">
        <v>4.5222199999999999</v>
      </c>
      <c r="H42" s="35">
        <f t="shared" si="1"/>
        <v>4.5222199999999997E-2</v>
      </c>
    </row>
    <row r="43" spans="1:8">
      <c r="A43" s="39">
        <v>1923</v>
      </c>
      <c r="B43" s="117">
        <v>5.9945959999999996</v>
      </c>
      <c r="C43" s="35">
        <f t="shared" si="0"/>
        <v>1.4734875665017633E-2</v>
      </c>
      <c r="F43" s="40">
        <v>42004</v>
      </c>
      <c r="G43" s="115">
        <v>3.6835599999999999</v>
      </c>
      <c r="H43" s="35">
        <f t="shared" si="1"/>
        <v>3.6835599999999996E-2</v>
      </c>
    </row>
    <row r="44" spans="1:8">
      <c r="A44" s="39">
        <v>1924</v>
      </c>
      <c r="B44" s="117">
        <v>6.006202</v>
      </c>
      <c r="C44" s="35">
        <f t="shared" si="0"/>
        <v>1.9360770934355731E-3</v>
      </c>
      <c r="F44" s="40">
        <v>42369</v>
      </c>
      <c r="G44" s="115">
        <v>10.422000000000001</v>
      </c>
      <c r="H44" s="35">
        <f t="shared" si="1"/>
        <v>0.10422000000000001</v>
      </c>
    </row>
    <row r="45" spans="1:8">
      <c r="A45" s="39">
        <v>1925</v>
      </c>
      <c r="B45" s="117">
        <v>6.3195690000000004</v>
      </c>
      <c r="C45" s="35">
        <f t="shared" si="0"/>
        <v>5.2173902909026459E-2</v>
      </c>
      <c r="F45" s="40">
        <v>42735</v>
      </c>
      <c r="G45" s="115">
        <v>18.860880000000002</v>
      </c>
      <c r="H45" s="35">
        <f t="shared" si="1"/>
        <v>0.18860880000000002</v>
      </c>
    </row>
    <row r="46" spans="1:8">
      <c r="A46" s="39">
        <v>1926</v>
      </c>
      <c r="B46" s="117">
        <v>6.0642329999999998</v>
      </c>
      <c r="C46" s="35">
        <f t="shared" si="0"/>
        <v>-4.0404021223599318E-2</v>
      </c>
      <c r="F46" s="40">
        <v>43100</v>
      </c>
      <c r="G46" s="115">
        <v>5.6384600000000002</v>
      </c>
      <c r="H46" s="35">
        <f t="shared" si="1"/>
        <v>5.63846E-2</v>
      </c>
    </row>
    <row r="47" spans="1:8">
      <c r="A47" s="39">
        <v>1927</v>
      </c>
      <c r="B47" s="117">
        <v>5.8379120000000002</v>
      </c>
      <c r="C47" s="35">
        <f t="shared" si="0"/>
        <v>-3.7320630655187537E-2</v>
      </c>
      <c r="F47" s="40">
        <v>43465</v>
      </c>
      <c r="G47" s="115">
        <v>5.6736500000000003</v>
      </c>
      <c r="H47" s="35">
        <f t="shared" si="1"/>
        <v>5.6736500000000002E-2</v>
      </c>
    </row>
    <row r="48" spans="1:8">
      <c r="A48" s="39">
        <v>1928</v>
      </c>
      <c r="B48" s="117">
        <v>5.9249590000000003</v>
      </c>
      <c r="C48" s="35">
        <f t="shared" ref="C48:C79" si="2">B48/B47-1</f>
        <v>1.4910639283360227E-2</v>
      </c>
      <c r="F48" s="40">
        <v>43830</v>
      </c>
      <c r="G48" s="115">
        <v>3.99919</v>
      </c>
      <c r="H48" s="35">
        <f t="shared" si="1"/>
        <v>3.9991899999999997E-2</v>
      </c>
    </row>
    <row r="49" spans="1:3">
      <c r="A49" s="39">
        <v>1929</v>
      </c>
      <c r="B49" s="117">
        <v>5.8030939999999998</v>
      </c>
      <c r="C49" s="35">
        <f t="shared" si="2"/>
        <v>-2.0568074817057913E-2</v>
      </c>
    </row>
    <row r="50" spans="1:3">
      <c r="A50" s="39">
        <v>1930</v>
      </c>
      <c r="B50" s="117">
        <v>5.5535610000000002</v>
      </c>
      <c r="C50" s="35">
        <f t="shared" si="2"/>
        <v>-4.2999992762481454E-2</v>
      </c>
    </row>
    <row r="51" spans="1:3">
      <c r="A51" s="39">
        <v>1931</v>
      </c>
      <c r="B51" s="117">
        <v>5.1009190000000002</v>
      </c>
      <c r="C51" s="35">
        <f t="shared" si="2"/>
        <v>-8.1504821861144605E-2</v>
      </c>
    </row>
    <row r="52" spans="1:3">
      <c r="A52" s="39">
        <v>1932</v>
      </c>
      <c r="B52" s="117">
        <v>4.5670349999999997</v>
      </c>
      <c r="C52" s="35">
        <f t="shared" si="2"/>
        <v>-0.10466427716260551</v>
      </c>
    </row>
    <row r="53" spans="1:3">
      <c r="A53" s="39">
        <v>1933</v>
      </c>
      <c r="B53" s="117">
        <v>4.3929419999999997</v>
      </c>
      <c r="C53" s="35">
        <f t="shared" si="2"/>
        <v>-3.8119480144119811E-2</v>
      </c>
    </row>
    <row r="54" spans="1:3">
      <c r="A54" s="39">
        <v>1934</v>
      </c>
      <c r="B54" s="117">
        <v>4.5206099999999996</v>
      </c>
      <c r="C54" s="35">
        <f t="shared" si="2"/>
        <v>2.9062072752155554E-2</v>
      </c>
    </row>
    <row r="55" spans="1:3">
      <c r="A55" s="39">
        <v>1935</v>
      </c>
      <c r="B55" s="117">
        <v>4.9620850000000001</v>
      </c>
      <c r="C55" s="35">
        <f t="shared" si="2"/>
        <v>9.7658280630269045E-2</v>
      </c>
    </row>
    <row r="56" spans="1:3">
      <c r="A56" s="39">
        <v>1936</v>
      </c>
      <c r="B56" s="117">
        <v>5.1217949999999997</v>
      </c>
      <c r="C56" s="35">
        <f t="shared" si="2"/>
        <v>3.218606694564885E-2</v>
      </c>
    </row>
    <row r="57" spans="1:3">
      <c r="A57" s="39">
        <v>1937</v>
      </c>
      <c r="B57" s="117">
        <v>5.2530869999999998</v>
      </c>
      <c r="C57" s="35">
        <f t="shared" si="2"/>
        <v>2.563398183644594E-2</v>
      </c>
    </row>
    <row r="58" spans="1:3">
      <c r="A58" s="39">
        <v>1938</v>
      </c>
      <c r="B58" s="117">
        <v>5.2071909999999999</v>
      </c>
      <c r="C58" s="35">
        <f t="shared" si="2"/>
        <v>-8.7369579068460324E-3</v>
      </c>
    </row>
    <row r="59" spans="1:3">
      <c r="A59" s="39">
        <v>1939</v>
      </c>
      <c r="B59" s="117">
        <v>5.1394140000000004</v>
      </c>
      <c r="C59" s="35">
        <f t="shared" si="2"/>
        <v>-1.3016038781753836E-2</v>
      </c>
    </row>
    <row r="60" spans="1:3">
      <c r="A60" s="39">
        <v>1940</v>
      </c>
      <c r="B60" s="117">
        <v>5.3093539999999999</v>
      </c>
      <c r="C60" s="35">
        <f t="shared" si="2"/>
        <v>3.3066026593693287E-2</v>
      </c>
    </row>
    <row r="61" spans="1:3">
      <c r="A61" s="39">
        <v>1941</v>
      </c>
      <c r="B61" s="117">
        <v>4.864185</v>
      </c>
      <c r="C61" s="35">
        <f t="shared" si="2"/>
        <v>-8.3846170362722128E-2</v>
      </c>
    </row>
    <row r="62" spans="1:3">
      <c r="A62" s="39">
        <v>1942</v>
      </c>
      <c r="B62" s="117">
        <v>5.0263099999999996</v>
      </c>
      <c r="C62" s="35">
        <f t="shared" si="2"/>
        <v>3.3330352361186755E-2</v>
      </c>
    </row>
    <row r="63" spans="1:3">
      <c r="A63" s="39">
        <v>1943</v>
      </c>
      <c r="B63" s="117">
        <v>5.6016349999999999</v>
      </c>
      <c r="C63" s="35">
        <f t="shared" si="2"/>
        <v>0.11446269728687652</v>
      </c>
    </row>
    <row r="64" spans="1:3">
      <c r="A64" s="39">
        <v>1944</v>
      </c>
      <c r="B64" s="117">
        <v>6.5306230000000003</v>
      </c>
      <c r="C64" s="35">
        <f t="shared" si="2"/>
        <v>0.16584229425872987</v>
      </c>
    </row>
    <row r="65" spans="1:3">
      <c r="A65" s="39">
        <v>1945</v>
      </c>
      <c r="B65" s="117">
        <v>7.2997589999999999</v>
      </c>
      <c r="C65" s="35">
        <f t="shared" si="2"/>
        <v>0.11777375604134543</v>
      </c>
    </row>
    <row r="66" spans="1:3">
      <c r="A66" s="39">
        <v>1946</v>
      </c>
      <c r="B66" s="117">
        <v>9.0591229999999996</v>
      </c>
      <c r="C66" s="35">
        <f t="shared" si="2"/>
        <v>0.24101672397677776</v>
      </c>
    </row>
    <row r="67" spans="1:3">
      <c r="A67" s="39">
        <v>1947</v>
      </c>
      <c r="B67" s="117">
        <v>10.985440000000001</v>
      </c>
      <c r="C67" s="35">
        <f t="shared" si="2"/>
        <v>0.21263835362429684</v>
      </c>
    </row>
    <row r="68" spans="1:3">
      <c r="A68" s="39">
        <v>1948</v>
      </c>
      <c r="B68" s="117">
        <v>11.21158</v>
      </c>
      <c r="C68" s="35">
        <f t="shared" si="2"/>
        <v>2.058542944115116E-2</v>
      </c>
    </row>
    <row r="69" spans="1:3">
      <c r="A69" s="39">
        <v>1949</v>
      </c>
      <c r="B69" s="117">
        <v>11.2216</v>
      </c>
      <c r="C69" s="35">
        <f t="shared" si="2"/>
        <v>8.9371881572453127E-4</v>
      </c>
    </row>
    <row r="70" spans="1:3">
      <c r="A70" s="39">
        <v>1950</v>
      </c>
      <c r="B70" s="117">
        <v>11.63011</v>
      </c>
      <c r="C70" s="35">
        <f t="shared" si="2"/>
        <v>3.6403899622157176E-2</v>
      </c>
    </row>
    <row r="71" spans="1:3">
      <c r="A71" s="39">
        <v>1951</v>
      </c>
      <c r="B71" s="117">
        <v>12.333460000000001</v>
      </c>
      <c r="C71" s="35">
        <f t="shared" si="2"/>
        <v>6.0476642095388611E-2</v>
      </c>
    </row>
    <row r="72" spans="1:3">
      <c r="A72" s="39">
        <v>1952</v>
      </c>
      <c r="B72" s="117">
        <v>12.876950000000001</v>
      </c>
      <c r="C72" s="35">
        <f t="shared" si="2"/>
        <v>4.4066304183902893E-2</v>
      </c>
    </row>
    <row r="73" spans="1:3">
      <c r="A73" s="39">
        <f>A72+1</f>
        <v>1953</v>
      </c>
      <c r="B73" s="117">
        <v>14.35994</v>
      </c>
      <c r="C73" s="35">
        <f t="shared" si="2"/>
        <v>0.11516624666555342</v>
      </c>
    </row>
    <row r="74" spans="1:3">
      <c r="A74" s="39">
        <f>A73+1</f>
        <v>1954</v>
      </c>
      <c r="B74" s="117">
        <v>14.49244</v>
      </c>
      <c r="C74" s="35">
        <f t="shared" si="2"/>
        <v>9.2270580517745948E-3</v>
      </c>
    </row>
    <row r="75" spans="1:3">
      <c r="A75" s="39">
        <f>A74+1</f>
        <v>1955</v>
      </c>
      <c r="B75" s="117">
        <v>14.49244</v>
      </c>
      <c r="C75" s="35">
        <f t="shared" si="2"/>
        <v>0</v>
      </c>
    </row>
    <row r="76" spans="1:3">
      <c r="A76" s="39">
        <f>A75+1</f>
        <v>1956</v>
      </c>
      <c r="B76" s="117">
        <v>14.62494</v>
      </c>
      <c r="C76" s="35">
        <f t="shared" si="2"/>
        <v>9.1426978479813847E-3</v>
      </c>
    </row>
    <row r="77" spans="1:3">
      <c r="A77" s="39">
        <f>A76+1</f>
        <v>1957</v>
      </c>
      <c r="B77" s="117">
        <v>15.022449999999999</v>
      </c>
      <c r="C77" s="35">
        <f t="shared" si="2"/>
        <v>2.7180282449021931E-2</v>
      </c>
    </row>
    <row r="78" spans="1:3">
      <c r="A78" s="39">
        <v>1958</v>
      </c>
      <c r="B78" s="117">
        <v>15.121829999999999</v>
      </c>
      <c r="C78" s="35">
        <f t="shared" si="2"/>
        <v>6.6154322364195828E-3</v>
      </c>
    </row>
    <row r="79" spans="1:3">
      <c r="A79" s="39">
        <v>1959</v>
      </c>
      <c r="B79" s="117">
        <v>15.138389999999999</v>
      </c>
      <c r="C79" s="35">
        <f t="shared" si="2"/>
        <v>1.0951055527008702E-3</v>
      </c>
    </row>
    <row r="80" spans="1:3">
      <c r="A80" s="39">
        <v>1960</v>
      </c>
      <c r="B80" s="117">
        <v>15.25433</v>
      </c>
      <c r="C80" s="35">
        <f t="shared" ref="C80:C108" si="3">B80/B79-1</f>
        <v>7.6586744032887122E-3</v>
      </c>
    </row>
    <row r="81" spans="1:3">
      <c r="A81" s="39">
        <v>1961</v>
      </c>
      <c r="B81" s="117">
        <v>15.40339</v>
      </c>
      <c r="C81" s="35">
        <f t="shared" si="3"/>
        <v>9.7716517211834386E-3</v>
      </c>
    </row>
    <row r="82" spans="1:3">
      <c r="A82" s="39">
        <f>A81+1</f>
        <v>1962</v>
      </c>
      <c r="B82" s="117">
        <v>15.45308</v>
      </c>
      <c r="C82" s="35">
        <f t="shared" si="3"/>
        <v>3.2259132567571402E-3</v>
      </c>
    </row>
    <row r="83" spans="1:3">
      <c r="A83" s="39">
        <f t="shared" ref="A83:A94" si="4">A82+1</f>
        <v>1963</v>
      </c>
      <c r="B83" s="117">
        <v>15.78434</v>
      </c>
      <c r="C83" s="35">
        <f t="shared" si="3"/>
        <v>2.1436503273133845E-2</v>
      </c>
    </row>
    <row r="84" spans="1:3">
      <c r="A84" s="39">
        <f t="shared" si="4"/>
        <v>1964</v>
      </c>
      <c r="B84" s="117">
        <v>15.983090000000001</v>
      </c>
      <c r="C84" s="35">
        <f t="shared" si="3"/>
        <v>1.2591593946911894E-2</v>
      </c>
    </row>
    <row r="85" spans="1:3">
      <c r="A85" s="39">
        <f t="shared" si="4"/>
        <v>1965</v>
      </c>
      <c r="B85" s="117">
        <v>16.248090000000001</v>
      </c>
      <c r="C85" s="35">
        <f t="shared" si="3"/>
        <v>1.658002301182071E-2</v>
      </c>
    </row>
    <row r="86" spans="1:3">
      <c r="A86" s="39">
        <f t="shared" si="4"/>
        <v>1966</v>
      </c>
      <c r="B86" s="117">
        <v>16.446850000000001</v>
      </c>
      <c r="C86" s="35">
        <f t="shared" si="3"/>
        <v>1.2232822442514779E-2</v>
      </c>
    </row>
    <row r="87" spans="1:3">
      <c r="A87" s="39">
        <f t="shared" si="4"/>
        <v>1967</v>
      </c>
      <c r="B87" s="117">
        <v>16.82779</v>
      </c>
      <c r="C87" s="35">
        <f t="shared" si="3"/>
        <v>2.3161882062522565E-2</v>
      </c>
    </row>
    <row r="88" spans="1:3">
      <c r="A88" s="39">
        <f t="shared" si="4"/>
        <v>1968</v>
      </c>
      <c r="B88" s="117">
        <v>17.523430000000001</v>
      </c>
      <c r="C88" s="35">
        <f t="shared" si="3"/>
        <v>4.1338761655570933E-2</v>
      </c>
    </row>
    <row r="89" spans="1:3">
      <c r="A89" s="39">
        <f t="shared" si="4"/>
        <v>1969</v>
      </c>
      <c r="B89" s="117">
        <v>18.749079999999999</v>
      </c>
      <c r="C89" s="35">
        <f t="shared" si="3"/>
        <v>6.9943498504573487E-2</v>
      </c>
    </row>
    <row r="90" spans="1:3">
      <c r="A90" s="39">
        <f t="shared" si="4"/>
        <v>1970</v>
      </c>
      <c r="B90" s="117">
        <v>20.28941</v>
      </c>
      <c r="C90" s="35">
        <f t="shared" si="3"/>
        <v>8.2154964403586828E-2</v>
      </c>
    </row>
    <row r="91" spans="1:3">
      <c r="A91" s="39">
        <f t="shared" si="4"/>
        <v>1971</v>
      </c>
      <c r="B91" s="117">
        <v>21.150680000000001</v>
      </c>
      <c r="C91" s="35">
        <f t="shared" si="3"/>
        <v>4.2449238297220138E-2</v>
      </c>
    </row>
    <row r="92" spans="1:3">
      <c r="A92" s="39">
        <f t="shared" si="4"/>
        <v>1972</v>
      </c>
      <c r="B92" s="117">
        <v>21.780069999999998</v>
      </c>
      <c r="C92" s="35">
        <f t="shared" si="3"/>
        <v>2.9757435694738765E-2</v>
      </c>
    </row>
    <row r="93" spans="1:3">
      <c r="A93" s="39">
        <f t="shared" si="4"/>
        <v>1973</v>
      </c>
      <c r="B93" s="117">
        <v>22.525390000000002</v>
      </c>
      <c r="C93" s="35">
        <f t="shared" si="3"/>
        <v>3.4220275692410596E-2</v>
      </c>
    </row>
    <row r="94" spans="1:3">
      <c r="A94" s="39">
        <f t="shared" si="4"/>
        <v>1974</v>
      </c>
      <c r="B94" s="117">
        <v>24.79449</v>
      </c>
      <c r="C94" s="35">
        <f t="shared" si="3"/>
        <v>0.10073521479539305</v>
      </c>
    </row>
    <row r="95" spans="1:3">
      <c r="A95" s="39">
        <v>1975</v>
      </c>
      <c r="B95" s="117">
        <v>26.47</v>
      </c>
      <c r="C95" s="35">
        <f t="shared" si="3"/>
        <v>6.7575900936054811E-2</v>
      </c>
    </row>
    <row r="96" spans="1:3">
      <c r="A96" s="39">
        <v>1976</v>
      </c>
      <c r="B96" s="117">
        <v>28.64</v>
      </c>
      <c r="C96" s="35">
        <f t="shared" si="3"/>
        <v>8.1979599546656567E-2</v>
      </c>
    </row>
    <row r="97" spans="1:3">
      <c r="A97" s="39">
        <v>1977</v>
      </c>
      <c r="B97" s="117">
        <v>32.840000000000003</v>
      </c>
      <c r="C97" s="35">
        <f t="shared" si="3"/>
        <v>0.14664804469273762</v>
      </c>
    </row>
    <row r="98" spans="1:3">
      <c r="A98" s="39">
        <v>1978</v>
      </c>
      <c r="B98" s="117">
        <v>38</v>
      </c>
      <c r="C98" s="35">
        <f t="shared" si="3"/>
        <v>0.15712545676004863</v>
      </c>
    </row>
    <row r="99" spans="1:3">
      <c r="A99" s="39">
        <v>1979</v>
      </c>
      <c r="B99" s="117">
        <v>43.22</v>
      </c>
      <c r="C99" s="35">
        <f t="shared" si="3"/>
        <v>0.13736842105263158</v>
      </c>
    </row>
    <row r="100" spans="1:3">
      <c r="A100" s="39">
        <v>1980</v>
      </c>
      <c r="B100" s="117">
        <v>46.42</v>
      </c>
      <c r="C100" s="35">
        <f t="shared" si="3"/>
        <v>7.4039796390559909E-2</v>
      </c>
    </row>
    <row r="101" spans="1:3">
      <c r="A101" s="39">
        <v>1981</v>
      </c>
      <c r="B101" s="117">
        <v>48.78</v>
      </c>
      <c r="C101" s="35">
        <f t="shared" si="3"/>
        <v>5.0840155105557949E-2</v>
      </c>
    </row>
    <row r="102" spans="1:3">
      <c r="A102" s="39">
        <v>1982</v>
      </c>
      <c r="B102" s="117">
        <v>49.06</v>
      </c>
      <c r="C102" s="35">
        <f t="shared" si="3"/>
        <v>5.740057400573928E-3</v>
      </c>
    </row>
    <row r="103" spans="1:3">
      <c r="A103" s="39">
        <v>1983</v>
      </c>
      <c r="B103" s="117">
        <v>51.39</v>
      </c>
      <c r="C103" s="35">
        <f t="shared" si="3"/>
        <v>4.7492865878516088E-2</v>
      </c>
    </row>
    <row r="104" spans="1:3">
      <c r="A104" s="39">
        <v>1984</v>
      </c>
      <c r="B104" s="117">
        <v>53.79</v>
      </c>
      <c r="C104" s="35">
        <f t="shared" si="3"/>
        <v>4.6701692936368833E-2</v>
      </c>
    </row>
    <row r="105" spans="1:3">
      <c r="A105" s="39">
        <v>1985</v>
      </c>
      <c r="B105" s="117">
        <v>57.81</v>
      </c>
      <c r="C105" s="35">
        <f t="shared" si="3"/>
        <v>7.4735080870050208E-2</v>
      </c>
    </row>
    <row r="106" spans="1:3">
      <c r="A106" s="39">
        <v>1986</v>
      </c>
      <c r="B106" s="117">
        <v>63.37</v>
      </c>
      <c r="C106" s="35">
        <f t="shared" si="3"/>
        <v>9.6177131984085618E-2</v>
      </c>
    </row>
    <row r="107" spans="1:3">
      <c r="A107" s="39">
        <v>1987</v>
      </c>
      <c r="B107" s="118">
        <v>68.343999999999994</v>
      </c>
      <c r="C107" s="35">
        <f t="shared" si="3"/>
        <v>7.849139971595398E-2</v>
      </c>
    </row>
    <row r="108" spans="1:3">
      <c r="A108" s="39">
        <v>1988</v>
      </c>
      <c r="B108" s="118">
        <v>73.278999999999996</v>
      </c>
      <c r="C108" s="35">
        <f t="shared" si="3"/>
        <v>7.2208240664871859E-2</v>
      </c>
    </row>
    <row r="109" spans="1:3">
      <c r="A109" s="39">
        <f>A108+1</f>
        <v>1989</v>
      </c>
      <c r="B109" s="118">
        <v>76.498000000000005</v>
      </c>
      <c r="C109" s="35">
        <f t="shared" ref="C109:C145" si="5">B109/B108-1</f>
        <v>4.3928001200889799E-2</v>
      </c>
    </row>
    <row r="110" spans="1:3">
      <c r="A110" s="39">
        <f t="shared" ref="A110:A122" si="6">A109+1</f>
        <v>1990</v>
      </c>
      <c r="B110" s="118">
        <v>75.971999999999994</v>
      </c>
      <c r="C110" s="35">
        <f t="shared" si="5"/>
        <v>-6.8759967580853676E-3</v>
      </c>
    </row>
    <row r="111" spans="1:3">
      <c r="A111" s="39">
        <f t="shared" si="6"/>
        <v>1991</v>
      </c>
      <c r="B111" s="118">
        <v>75.843000000000004</v>
      </c>
      <c r="C111" s="35">
        <f t="shared" si="5"/>
        <v>-1.6979939977885827E-3</v>
      </c>
    </row>
    <row r="112" spans="1:3">
      <c r="A112" s="39">
        <f t="shared" si="6"/>
        <v>1992</v>
      </c>
      <c r="B112" s="118">
        <v>76.463000000000008</v>
      </c>
      <c r="C112" s="35">
        <f t="shared" si="5"/>
        <v>8.1747821156863409E-3</v>
      </c>
    </row>
    <row r="113" spans="1:3">
      <c r="A113" s="39">
        <f t="shared" si="6"/>
        <v>1993</v>
      </c>
      <c r="B113" s="118">
        <v>78.111999999999995</v>
      </c>
      <c r="C113" s="35">
        <f t="shared" si="5"/>
        <v>2.1565986163242234E-2</v>
      </c>
    </row>
    <row r="114" spans="1:3">
      <c r="A114" s="39">
        <f t="shared" si="6"/>
        <v>1994</v>
      </c>
      <c r="B114" s="118">
        <v>80.076999999999998</v>
      </c>
      <c r="C114" s="35">
        <f t="shared" si="5"/>
        <v>2.5156185989348767E-2</v>
      </c>
    </row>
    <row r="115" spans="1:3">
      <c r="A115" s="39">
        <f t="shared" si="6"/>
        <v>1995</v>
      </c>
      <c r="B115" s="118">
        <v>81.512</v>
      </c>
      <c r="C115" s="35">
        <f t="shared" si="5"/>
        <v>1.7920251757683303E-2</v>
      </c>
    </row>
    <row r="116" spans="1:3">
      <c r="A116" s="39">
        <f t="shared" si="6"/>
        <v>1996</v>
      </c>
      <c r="B116" s="118">
        <v>83.48899999999999</v>
      </c>
      <c r="C116" s="35">
        <f t="shared" si="5"/>
        <v>2.4254097556188015E-2</v>
      </c>
    </row>
    <row r="117" spans="1:3">
      <c r="A117" s="39">
        <f t="shared" si="6"/>
        <v>1997</v>
      </c>
      <c r="B117" s="118">
        <v>86.847000000000008</v>
      </c>
      <c r="C117" s="35">
        <f t="shared" si="5"/>
        <v>4.0220867419660244E-2</v>
      </c>
    </row>
    <row r="118" spans="1:3">
      <c r="A118" s="39">
        <f t="shared" si="6"/>
        <v>1998</v>
      </c>
      <c r="B118" s="118">
        <v>92.442000000000007</v>
      </c>
      <c r="C118" s="35">
        <f t="shared" si="5"/>
        <v>6.4423641576565771E-2</v>
      </c>
    </row>
    <row r="119" spans="1:3">
      <c r="A119" s="39">
        <f t="shared" si="6"/>
        <v>1999</v>
      </c>
      <c r="B119" s="118">
        <v>99.542000000000002</v>
      </c>
      <c r="C119" s="35">
        <f t="shared" si="5"/>
        <v>7.6804915514592897E-2</v>
      </c>
    </row>
    <row r="120" spans="1:3">
      <c r="A120" s="39">
        <f t="shared" si="6"/>
        <v>2000</v>
      </c>
      <c r="B120" s="118">
        <v>108.791</v>
      </c>
      <c r="C120" s="35">
        <f t="shared" si="5"/>
        <v>9.2915553233810844E-2</v>
      </c>
    </row>
    <row r="121" spans="1:3">
      <c r="A121" s="39">
        <f t="shared" si="6"/>
        <v>2001</v>
      </c>
      <c r="B121" s="118">
        <v>116.056</v>
      </c>
      <c r="C121" s="35">
        <f t="shared" si="5"/>
        <v>6.6779421091818225E-2</v>
      </c>
    </row>
    <row r="122" spans="1:3">
      <c r="A122" s="39">
        <f t="shared" si="6"/>
        <v>2002</v>
      </c>
      <c r="B122" s="118">
        <v>127.15100000000001</v>
      </c>
      <c r="C122" s="35">
        <f t="shared" si="5"/>
        <v>9.5600399806989866E-2</v>
      </c>
    </row>
    <row r="123" spans="1:3">
      <c r="A123" s="39">
        <v>2003</v>
      </c>
      <c r="B123" s="118">
        <v>139.62700000000001</v>
      </c>
      <c r="C123" s="35">
        <f t="shared" si="5"/>
        <v>9.8119558635008763E-2</v>
      </c>
    </row>
    <row r="124" spans="1:3">
      <c r="A124" s="39">
        <f>A123+1</f>
        <v>2004</v>
      </c>
      <c r="B124" s="118">
        <v>158.66999999999999</v>
      </c>
      <c r="C124" s="35">
        <f t="shared" si="5"/>
        <v>0.13638479663675351</v>
      </c>
    </row>
    <row r="125" spans="1:3">
      <c r="A125" s="39">
        <f t="shared" ref="A125:A138" si="7">A124+1</f>
        <v>2005</v>
      </c>
      <c r="B125" s="118">
        <v>180.107</v>
      </c>
      <c r="C125" s="35">
        <f t="shared" si="5"/>
        <v>0.13510430453141753</v>
      </c>
    </row>
    <row r="126" spans="1:3">
      <c r="A126" s="39">
        <f t="shared" si="7"/>
        <v>2006</v>
      </c>
      <c r="B126" s="118">
        <v>183.22900000000001</v>
      </c>
      <c r="C126" s="35">
        <f t="shared" si="5"/>
        <v>1.7334140261067166E-2</v>
      </c>
    </row>
    <row r="127" spans="1:3">
      <c r="A127" s="39">
        <f t="shared" si="7"/>
        <v>2007</v>
      </c>
      <c r="B127" s="118">
        <v>173.33799999999999</v>
      </c>
      <c r="C127" s="35">
        <f t="shared" si="5"/>
        <v>-5.3981629545541421E-2</v>
      </c>
    </row>
    <row r="128" spans="1:3">
      <c r="A128" s="39">
        <f t="shared" si="7"/>
        <v>2008</v>
      </c>
      <c r="B128" s="118">
        <v>152.54499999999999</v>
      </c>
      <c r="C128" s="35">
        <f t="shared" si="5"/>
        <v>-0.11995638578961343</v>
      </c>
    </row>
    <row r="129" spans="1:4">
      <c r="A129" s="39">
        <f t="shared" si="7"/>
        <v>2009</v>
      </c>
      <c r="B129" s="118">
        <v>146.66399999999999</v>
      </c>
      <c r="C129" s="35">
        <f t="shared" si="5"/>
        <v>-3.8552558261496617E-2</v>
      </c>
    </row>
    <row r="130" spans="1:4">
      <c r="A130" s="39">
        <f t="shared" si="7"/>
        <v>2010</v>
      </c>
      <c r="B130" s="118">
        <v>140.63200000000001</v>
      </c>
      <c r="C130" s="35">
        <f t="shared" si="5"/>
        <v>-4.1128020509463736E-2</v>
      </c>
    </row>
    <row r="131" spans="1:4">
      <c r="A131" s="39">
        <f t="shared" si="7"/>
        <v>2011</v>
      </c>
      <c r="B131" s="118">
        <v>135.16800000000001</v>
      </c>
      <c r="C131" s="35">
        <f t="shared" si="5"/>
        <v>-3.8853177086296098E-2</v>
      </c>
    </row>
    <row r="132" spans="1:4">
      <c r="A132" s="39">
        <f t="shared" si="7"/>
        <v>2012</v>
      </c>
      <c r="B132" s="118">
        <v>143.869</v>
      </c>
      <c r="C132" s="35">
        <f t="shared" si="5"/>
        <v>6.4371744791666519E-2</v>
      </c>
    </row>
    <row r="133" spans="1:4">
      <c r="A133" s="39">
        <f t="shared" si="7"/>
        <v>2013</v>
      </c>
      <c r="B133" s="118">
        <v>159.28200000000001</v>
      </c>
      <c r="C133" s="35">
        <f t="shared" si="5"/>
        <v>0.1071321827495848</v>
      </c>
    </row>
    <row r="134" spans="1:4">
      <c r="A134" s="39">
        <f t="shared" si="7"/>
        <v>2014</v>
      </c>
      <c r="B134" s="118">
        <v>166.46099999999998</v>
      </c>
      <c r="C134" s="35">
        <f t="shared" si="5"/>
        <v>4.5071006140053216E-2</v>
      </c>
    </row>
    <row r="135" spans="1:4">
      <c r="A135" s="39">
        <f t="shared" si="7"/>
        <v>2015</v>
      </c>
      <c r="B135" s="118">
        <v>175.11700000000002</v>
      </c>
      <c r="C135" s="35">
        <f t="shared" si="5"/>
        <v>5.2000168207568365E-2</v>
      </c>
    </row>
    <row r="136" spans="1:4">
      <c r="A136" s="39">
        <f t="shared" si="7"/>
        <v>2016</v>
      </c>
      <c r="B136" s="118">
        <v>184.40599999999998</v>
      </c>
      <c r="C136" s="35">
        <f t="shared" si="5"/>
        <v>5.3044535938829185E-2</v>
      </c>
    </row>
    <row r="137" spans="1:4">
      <c r="A137" s="39">
        <f t="shared" si="7"/>
        <v>2017</v>
      </c>
      <c r="B137" s="118">
        <v>195.852</v>
      </c>
      <c r="C137" s="35">
        <f t="shared" si="5"/>
        <v>6.2069563897053426E-2</v>
      </c>
    </row>
    <row r="138" spans="1:4">
      <c r="A138" s="39">
        <f t="shared" si="7"/>
        <v>2018</v>
      </c>
      <c r="B138" s="118">
        <v>204.703</v>
      </c>
      <c r="C138" s="35">
        <f t="shared" si="5"/>
        <v>4.5192288054245022E-2</v>
      </c>
    </row>
    <row r="139" spans="1:4">
      <c r="A139">
        <v>2019</v>
      </c>
      <c r="B139" s="118">
        <v>212.24799999999999</v>
      </c>
      <c r="C139" s="35">
        <f t="shared" si="5"/>
        <v>3.685827760218463E-2</v>
      </c>
      <c r="D139" s="58"/>
    </row>
    <row r="140" spans="1:4">
      <c r="A140">
        <v>2020</v>
      </c>
      <c r="B140" s="118">
        <v>234.39</v>
      </c>
      <c r="C140" s="35">
        <f t="shared" si="5"/>
        <v>0.10432135991858571</v>
      </c>
    </row>
    <row r="141" spans="1:4">
      <c r="A141">
        <v>2021</v>
      </c>
      <c r="B141" s="118">
        <v>278.63099999999997</v>
      </c>
      <c r="C141" s="35">
        <f t="shared" si="5"/>
        <v>0.18874952003071788</v>
      </c>
    </row>
    <row r="142" spans="1:4">
      <c r="A142">
        <v>2022</v>
      </c>
      <c r="B142" s="118">
        <v>294.423</v>
      </c>
      <c r="C142" s="35">
        <f t="shared" si="5"/>
        <v>5.667711058712066E-2</v>
      </c>
    </row>
    <row r="143" spans="1:4">
      <c r="A143">
        <v>2023</v>
      </c>
      <c r="B143" s="116">
        <v>311.01999999999902</v>
      </c>
      <c r="C143" s="35">
        <f t="shared" si="5"/>
        <v>5.6371275341936755E-2</v>
      </c>
    </row>
    <row r="144" spans="1:4">
      <c r="A144">
        <v>2024</v>
      </c>
      <c r="B144" s="116">
        <v>323.34699999999998</v>
      </c>
      <c r="C144" s="35">
        <f t="shared" si="5"/>
        <v>3.9634107131377494E-2</v>
      </c>
    </row>
    <row r="145" spans="1:4">
      <c r="A145">
        <v>2025</v>
      </c>
      <c r="B145" s="22">
        <v>328.44200000000001</v>
      </c>
      <c r="C145" s="35">
        <f t="shared" si="5"/>
        <v>1.5757065938450054E-2</v>
      </c>
      <c r="D145" t="s">
        <v>130</v>
      </c>
    </row>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8"/>
  <sheetViews>
    <sheetView topLeftCell="A97" workbookViewId="0">
      <selection activeCell="B119" sqref="B119"/>
    </sheetView>
  </sheetViews>
  <sheetFormatPr defaultColWidth="11.07421875" defaultRowHeight="13.9"/>
  <cols>
    <col min="9" max="11" width="17.69140625" customWidth="1"/>
  </cols>
  <sheetData>
    <row r="1" spans="1:11">
      <c r="A1" t="s">
        <v>36</v>
      </c>
      <c r="I1" t="s">
        <v>36</v>
      </c>
    </row>
    <row r="2" spans="1:11">
      <c r="A2" t="s">
        <v>37</v>
      </c>
      <c r="I2" t="s">
        <v>37</v>
      </c>
    </row>
    <row r="3" spans="1:11">
      <c r="A3" t="s">
        <v>38</v>
      </c>
      <c r="I3" t="s">
        <v>38</v>
      </c>
    </row>
    <row r="4" spans="1:11">
      <c r="A4" t="s">
        <v>39</v>
      </c>
      <c r="I4" t="s">
        <v>39</v>
      </c>
    </row>
    <row r="5" spans="1:11">
      <c r="A5" t="s">
        <v>40</v>
      </c>
      <c r="I5" t="s">
        <v>40</v>
      </c>
    </row>
    <row r="6" spans="1:11">
      <c r="A6" t="s">
        <v>41</v>
      </c>
      <c r="I6" t="s">
        <v>41</v>
      </c>
    </row>
    <row r="8" spans="1:11">
      <c r="A8" t="s">
        <v>71</v>
      </c>
      <c r="B8" t="s">
        <v>70</v>
      </c>
      <c r="I8" t="s">
        <v>73</v>
      </c>
      <c r="J8" t="s">
        <v>74</v>
      </c>
    </row>
    <row r="10" spans="1:11">
      <c r="A10" t="s">
        <v>44</v>
      </c>
      <c r="I10" t="s">
        <v>44</v>
      </c>
    </row>
    <row r="11" spans="1:11">
      <c r="A11" t="s">
        <v>45</v>
      </c>
      <c r="B11" t="s">
        <v>71</v>
      </c>
      <c r="C11" t="s">
        <v>72</v>
      </c>
      <c r="I11" t="s">
        <v>45</v>
      </c>
      <c r="J11" t="s">
        <v>73</v>
      </c>
    </row>
    <row r="12" spans="1:11">
      <c r="A12" s="66">
        <v>1919</v>
      </c>
      <c r="B12" s="14">
        <v>5.73</v>
      </c>
      <c r="C12" s="35">
        <f>B12/100</f>
        <v>5.7300000000000004E-2</v>
      </c>
      <c r="I12" s="66">
        <v>1919</v>
      </c>
      <c r="J12" s="14">
        <v>7.77</v>
      </c>
      <c r="K12" s="35">
        <f t="shared" ref="K12:K43" si="0">J12/100</f>
        <v>7.7699999999999991E-2</v>
      </c>
    </row>
    <row r="13" spans="1:11">
      <c r="A13" s="66">
        <f>A12+1</f>
        <v>1920</v>
      </c>
      <c r="B13" s="14">
        <v>6.26</v>
      </c>
      <c r="C13" s="35">
        <f t="shared" ref="C13:C76" si="1">B13/100</f>
        <v>6.2600000000000003E-2</v>
      </c>
      <c r="I13" s="66">
        <f>I12+1</f>
        <v>1920</v>
      </c>
      <c r="J13" s="14">
        <v>8.56</v>
      </c>
      <c r="K13" s="35">
        <f t="shared" si="0"/>
        <v>8.5600000000000009E-2</v>
      </c>
    </row>
    <row r="14" spans="1:11">
      <c r="A14" s="66">
        <f t="shared" ref="A14:A77" si="2">A13+1</f>
        <v>1921</v>
      </c>
      <c r="B14" s="14">
        <v>5.5</v>
      </c>
      <c r="C14" s="35">
        <f t="shared" si="1"/>
        <v>5.5E-2</v>
      </c>
      <c r="I14" s="66">
        <f t="shared" ref="I14:I77" si="3">I13+1</f>
        <v>1921</v>
      </c>
      <c r="J14" s="14">
        <v>7.61</v>
      </c>
      <c r="K14" s="35">
        <f t="shared" si="0"/>
        <v>7.6100000000000001E-2</v>
      </c>
    </row>
    <row r="15" spans="1:11">
      <c r="A15" s="66">
        <f t="shared" si="2"/>
        <v>1922</v>
      </c>
      <c r="B15" s="14">
        <v>5.08</v>
      </c>
      <c r="C15" s="35">
        <f t="shared" si="1"/>
        <v>5.0799999999999998E-2</v>
      </c>
      <c r="I15" s="66">
        <f t="shared" si="3"/>
        <v>1922</v>
      </c>
      <c r="J15" s="14">
        <v>7.02</v>
      </c>
      <c r="K15" s="35">
        <f t="shared" si="0"/>
        <v>7.0199999999999999E-2</v>
      </c>
    </row>
    <row r="16" spans="1:11">
      <c r="A16" s="66">
        <f t="shared" si="2"/>
        <v>1923</v>
      </c>
      <c r="B16" s="14">
        <v>5.09</v>
      </c>
      <c r="C16" s="35">
        <f t="shared" si="1"/>
        <v>5.0900000000000001E-2</v>
      </c>
      <c r="I16" s="66">
        <f t="shared" si="3"/>
        <v>1923</v>
      </c>
      <c r="J16" s="14">
        <v>7.38</v>
      </c>
      <c r="K16" s="35">
        <f t="shared" si="0"/>
        <v>7.3800000000000004E-2</v>
      </c>
    </row>
    <row r="17" spans="1:11">
      <c r="A17" s="66">
        <f t="shared" si="2"/>
        <v>1924</v>
      </c>
      <c r="B17" s="14">
        <v>4.95</v>
      </c>
      <c r="C17" s="35">
        <f t="shared" si="1"/>
        <v>4.9500000000000002E-2</v>
      </c>
      <c r="I17" s="66">
        <f t="shared" si="3"/>
        <v>1924</v>
      </c>
      <c r="J17" s="14">
        <v>6.46</v>
      </c>
      <c r="K17" s="35">
        <f t="shared" si="0"/>
        <v>6.4600000000000005E-2</v>
      </c>
    </row>
    <row r="18" spans="1:11">
      <c r="A18" s="66">
        <f t="shared" si="2"/>
        <v>1925</v>
      </c>
      <c r="B18" s="14">
        <v>4.8499999999999996</v>
      </c>
      <c r="C18" s="35">
        <f t="shared" si="1"/>
        <v>4.8499999999999995E-2</v>
      </c>
      <c r="I18" s="66">
        <f t="shared" si="3"/>
        <v>1925</v>
      </c>
      <c r="J18" s="14">
        <v>6.15</v>
      </c>
      <c r="K18" s="35">
        <f t="shared" si="0"/>
        <v>6.1500000000000006E-2</v>
      </c>
    </row>
    <row r="19" spans="1:11">
      <c r="A19" s="66">
        <f t="shared" si="2"/>
        <v>1926</v>
      </c>
      <c r="B19" s="14">
        <v>4.68</v>
      </c>
      <c r="C19" s="35">
        <f t="shared" si="1"/>
        <v>4.6799999999999994E-2</v>
      </c>
      <c r="I19" s="66">
        <f t="shared" si="3"/>
        <v>1926</v>
      </c>
      <c r="J19" s="14">
        <v>5.68</v>
      </c>
      <c r="K19" s="35">
        <f t="shared" si="0"/>
        <v>5.6799999999999996E-2</v>
      </c>
    </row>
    <row r="20" spans="1:11">
      <c r="A20" s="66">
        <f t="shared" si="2"/>
        <v>1927</v>
      </c>
      <c r="B20" s="14">
        <v>4.46</v>
      </c>
      <c r="C20" s="35">
        <f t="shared" si="1"/>
        <v>4.4600000000000001E-2</v>
      </c>
      <c r="I20" s="66">
        <f t="shared" si="3"/>
        <v>1927</v>
      </c>
      <c r="J20" s="14">
        <v>5.32</v>
      </c>
      <c r="K20" s="35">
        <f t="shared" si="0"/>
        <v>5.3200000000000004E-2</v>
      </c>
    </row>
    <row r="21" spans="1:11">
      <c r="A21" s="66">
        <f t="shared" si="2"/>
        <v>1928</v>
      </c>
      <c r="B21" s="14">
        <v>4.6100000000000003</v>
      </c>
      <c r="C21" s="35">
        <f t="shared" si="1"/>
        <v>4.6100000000000002E-2</v>
      </c>
      <c r="I21" s="66">
        <f t="shared" si="3"/>
        <v>1928</v>
      </c>
      <c r="J21" s="14">
        <v>5.6</v>
      </c>
      <c r="K21" s="35">
        <f t="shared" si="0"/>
        <v>5.5999999999999994E-2</v>
      </c>
    </row>
    <row r="22" spans="1:11">
      <c r="A22" s="66">
        <f t="shared" si="2"/>
        <v>1929</v>
      </c>
      <c r="B22" s="14">
        <v>4.67</v>
      </c>
      <c r="C22" s="35">
        <f t="shared" si="1"/>
        <v>4.6699999999999998E-2</v>
      </c>
      <c r="I22" s="66">
        <f t="shared" si="3"/>
        <v>1929</v>
      </c>
      <c r="J22" s="14">
        <v>5.95</v>
      </c>
      <c r="K22" s="35">
        <f t="shared" si="0"/>
        <v>5.9500000000000004E-2</v>
      </c>
    </row>
    <row r="23" spans="1:11">
      <c r="A23" s="66">
        <f t="shared" si="2"/>
        <v>1930</v>
      </c>
      <c r="B23" s="14">
        <v>4.5199999999999996</v>
      </c>
      <c r="C23" s="35">
        <f t="shared" si="1"/>
        <v>4.5199999999999997E-2</v>
      </c>
      <c r="I23" s="66">
        <f t="shared" si="3"/>
        <v>1930</v>
      </c>
      <c r="J23" s="14">
        <v>6.71</v>
      </c>
      <c r="K23" s="35">
        <f t="shared" si="0"/>
        <v>6.7099999999999993E-2</v>
      </c>
    </row>
    <row r="24" spans="1:11">
      <c r="A24" s="66">
        <f t="shared" si="2"/>
        <v>1931</v>
      </c>
      <c r="B24" s="14">
        <v>5.32</v>
      </c>
      <c r="C24" s="35">
        <f t="shared" si="1"/>
        <v>5.3200000000000004E-2</v>
      </c>
      <c r="I24" s="66">
        <f t="shared" si="3"/>
        <v>1931</v>
      </c>
      <c r="J24" s="14">
        <v>10.42</v>
      </c>
      <c r="K24" s="35">
        <f t="shared" si="0"/>
        <v>0.1042</v>
      </c>
    </row>
    <row r="25" spans="1:11">
      <c r="A25" s="66">
        <f t="shared" si="2"/>
        <v>1932</v>
      </c>
      <c r="B25" s="14">
        <v>4.59</v>
      </c>
      <c r="C25" s="35">
        <f t="shared" si="1"/>
        <v>4.5899999999999996E-2</v>
      </c>
      <c r="I25" s="66">
        <f t="shared" si="3"/>
        <v>1932</v>
      </c>
      <c r="J25" s="14">
        <v>8.42</v>
      </c>
      <c r="K25" s="35">
        <f t="shared" si="0"/>
        <v>8.4199999999999997E-2</v>
      </c>
    </row>
    <row r="26" spans="1:11">
      <c r="A26" s="66">
        <f t="shared" si="2"/>
        <v>1933</v>
      </c>
      <c r="B26" s="14">
        <v>4.5</v>
      </c>
      <c r="C26" s="35">
        <f t="shared" si="1"/>
        <v>4.4999999999999998E-2</v>
      </c>
      <c r="I26" s="66">
        <f t="shared" si="3"/>
        <v>1933</v>
      </c>
      <c r="J26" s="14">
        <v>7.75</v>
      </c>
      <c r="K26" s="35">
        <f t="shared" si="0"/>
        <v>7.7499999999999999E-2</v>
      </c>
    </row>
    <row r="27" spans="1:11">
      <c r="A27" s="66">
        <f t="shared" si="2"/>
        <v>1934</v>
      </c>
      <c r="B27" s="14">
        <v>3.81</v>
      </c>
      <c r="C27" s="35">
        <f t="shared" si="1"/>
        <v>3.8100000000000002E-2</v>
      </c>
      <c r="I27" s="66">
        <f t="shared" si="3"/>
        <v>1934</v>
      </c>
      <c r="J27" s="14">
        <v>6.23</v>
      </c>
      <c r="K27" s="35">
        <f t="shared" si="0"/>
        <v>6.2300000000000001E-2</v>
      </c>
    </row>
    <row r="28" spans="1:11">
      <c r="A28" s="66">
        <f t="shared" si="2"/>
        <v>1935</v>
      </c>
      <c r="B28" s="14">
        <v>3.44</v>
      </c>
      <c r="C28" s="35">
        <f t="shared" si="1"/>
        <v>3.44E-2</v>
      </c>
      <c r="I28" s="66">
        <f t="shared" si="3"/>
        <v>1935</v>
      </c>
      <c r="J28" s="14">
        <v>5.3</v>
      </c>
      <c r="K28" s="35">
        <f t="shared" si="0"/>
        <v>5.2999999999999999E-2</v>
      </c>
    </row>
    <row r="29" spans="1:11">
      <c r="A29" s="66">
        <f t="shared" si="2"/>
        <v>1936</v>
      </c>
      <c r="B29" s="14">
        <v>3.1</v>
      </c>
      <c r="C29" s="35">
        <f t="shared" si="1"/>
        <v>3.1E-2</v>
      </c>
      <c r="I29" s="66">
        <f t="shared" si="3"/>
        <v>1936</v>
      </c>
      <c r="J29" s="14">
        <v>4.53</v>
      </c>
      <c r="K29" s="35">
        <f t="shared" si="0"/>
        <v>4.53E-2</v>
      </c>
    </row>
    <row r="30" spans="1:11">
      <c r="A30" s="66">
        <f t="shared" si="2"/>
        <v>1937</v>
      </c>
      <c r="B30" s="14">
        <v>3.21</v>
      </c>
      <c r="C30" s="35">
        <f t="shared" si="1"/>
        <v>3.2099999999999997E-2</v>
      </c>
      <c r="I30" s="66">
        <f t="shared" si="3"/>
        <v>1937</v>
      </c>
      <c r="J30" s="14">
        <v>5.73</v>
      </c>
      <c r="K30" s="35">
        <f t="shared" si="0"/>
        <v>5.7300000000000004E-2</v>
      </c>
    </row>
    <row r="31" spans="1:11">
      <c r="A31" s="66">
        <f t="shared" si="2"/>
        <v>1938</v>
      </c>
      <c r="B31" s="14">
        <v>3.08</v>
      </c>
      <c r="C31" s="35">
        <f t="shared" si="1"/>
        <v>3.0800000000000001E-2</v>
      </c>
      <c r="I31" s="66">
        <f t="shared" si="3"/>
        <v>1938</v>
      </c>
      <c r="J31" s="14">
        <v>5.27</v>
      </c>
      <c r="K31" s="35">
        <f t="shared" si="0"/>
        <v>5.2699999999999997E-2</v>
      </c>
    </row>
    <row r="32" spans="1:11">
      <c r="A32" s="66">
        <f t="shared" si="2"/>
        <v>1939</v>
      </c>
      <c r="B32" s="14">
        <v>2.94</v>
      </c>
      <c r="C32" s="35">
        <f t="shared" si="1"/>
        <v>2.9399999999999999E-2</v>
      </c>
      <c r="I32" s="66">
        <f t="shared" si="3"/>
        <v>1939</v>
      </c>
      <c r="J32" s="14">
        <v>4.92</v>
      </c>
      <c r="K32" s="35">
        <f t="shared" si="0"/>
        <v>4.9200000000000001E-2</v>
      </c>
    </row>
    <row r="33" spans="1:11">
      <c r="A33" s="66">
        <f t="shared" si="2"/>
        <v>1940</v>
      </c>
      <c r="B33" s="14">
        <v>2.71</v>
      </c>
      <c r="C33" s="35">
        <f t="shared" si="1"/>
        <v>2.7099999999999999E-2</v>
      </c>
      <c r="I33" s="66">
        <f t="shared" si="3"/>
        <v>1940</v>
      </c>
      <c r="J33" s="14">
        <v>4.45</v>
      </c>
      <c r="K33" s="35">
        <f t="shared" si="0"/>
        <v>4.4500000000000005E-2</v>
      </c>
    </row>
    <row r="34" spans="1:11">
      <c r="A34" s="66">
        <f t="shared" si="2"/>
        <v>1941</v>
      </c>
      <c r="B34" s="14">
        <v>2.8</v>
      </c>
      <c r="C34" s="35">
        <f t="shared" si="1"/>
        <v>2.7999999999999997E-2</v>
      </c>
      <c r="I34" s="66">
        <f t="shared" si="3"/>
        <v>1941</v>
      </c>
      <c r="J34" s="14">
        <v>4.38</v>
      </c>
      <c r="K34" s="35">
        <f t="shared" si="0"/>
        <v>4.3799999999999999E-2</v>
      </c>
    </row>
    <row r="35" spans="1:11">
      <c r="A35" s="66">
        <f t="shared" si="2"/>
        <v>1942</v>
      </c>
      <c r="B35" s="14">
        <v>2.81</v>
      </c>
      <c r="C35" s="35">
        <f t="shared" si="1"/>
        <v>2.81E-2</v>
      </c>
      <c r="I35" s="66">
        <f t="shared" si="3"/>
        <v>1942</v>
      </c>
      <c r="J35" s="14">
        <v>4.28</v>
      </c>
      <c r="K35" s="35">
        <f t="shared" si="0"/>
        <v>4.2800000000000005E-2</v>
      </c>
    </row>
    <row r="36" spans="1:11">
      <c r="A36" s="66">
        <f t="shared" si="2"/>
        <v>1943</v>
      </c>
      <c r="B36" s="14">
        <v>2.74</v>
      </c>
      <c r="C36" s="35">
        <f t="shared" si="1"/>
        <v>2.7400000000000001E-2</v>
      </c>
      <c r="I36" s="66">
        <f t="shared" si="3"/>
        <v>1943</v>
      </c>
      <c r="J36" s="14">
        <v>3.82</v>
      </c>
      <c r="K36" s="35">
        <f t="shared" si="0"/>
        <v>3.8199999999999998E-2</v>
      </c>
    </row>
    <row r="37" spans="1:11">
      <c r="A37" s="66">
        <f t="shared" si="2"/>
        <v>1944</v>
      </c>
      <c r="B37" s="14">
        <v>2.7</v>
      </c>
      <c r="C37" s="35">
        <f t="shared" si="1"/>
        <v>2.7000000000000003E-2</v>
      </c>
      <c r="I37" s="66">
        <f t="shared" si="3"/>
        <v>1944</v>
      </c>
      <c r="J37" s="14">
        <v>3.49</v>
      </c>
      <c r="K37" s="35">
        <f t="shared" si="0"/>
        <v>3.49E-2</v>
      </c>
    </row>
    <row r="38" spans="1:11">
      <c r="A38" s="66">
        <f t="shared" si="2"/>
        <v>1945</v>
      </c>
      <c r="B38" s="14">
        <v>2.61</v>
      </c>
      <c r="C38" s="35">
        <f t="shared" si="1"/>
        <v>2.6099999999999998E-2</v>
      </c>
      <c r="I38" s="66">
        <f t="shared" si="3"/>
        <v>1945</v>
      </c>
      <c r="J38" s="14">
        <v>3.1</v>
      </c>
      <c r="K38" s="35">
        <f t="shared" si="0"/>
        <v>3.1E-2</v>
      </c>
    </row>
    <row r="39" spans="1:11">
      <c r="A39" s="66">
        <f t="shared" si="2"/>
        <v>1946</v>
      </c>
      <c r="B39" s="14">
        <v>2.61</v>
      </c>
      <c r="C39" s="35">
        <f t="shared" si="1"/>
        <v>2.6099999999999998E-2</v>
      </c>
      <c r="I39" s="66">
        <f t="shared" si="3"/>
        <v>1946</v>
      </c>
      <c r="J39" s="14">
        <v>3.17</v>
      </c>
      <c r="K39" s="35">
        <f t="shared" si="0"/>
        <v>3.1699999999999999E-2</v>
      </c>
    </row>
    <row r="40" spans="1:11">
      <c r="A40" s="66">
        <f t="shared" si="2"/>
        <v>1947</v>
      </c>
      <c r="B40" s="14">
        <v>2.86</v>
      </c>
      <c r="C40" s="35">
        <f t="shared" si="1"/>
        <v>2.86E-2</v>
      </c>
      <c r="I40" s="66">
        <f t="shared" si="3"/>
        <v>1947</v>
      </c>
      <c r="J40" s="14">
        <v>3.52</v>
      </c>
      <c r="K40" s="35">
        <f t="shared" si="0"/>
        <v>3.5200000000000002E-2</v>
      </c>
    </row>
    <row r="41" spans="1:11">
      <c r="A41" s="66">
        <f t="shared" si="2"/>
        <v>1948</v>
      </c>
      <c r="B41" s="14">
        <v>2.79</v>
      </c>
      <c r="C41" s="35">
        <f t="shared" si="1"/>
        <v>2.7900000000000001E-2</v>
      </c>
      <c r="I41" s="66">
        <f t="shared" si="3"/>
        <v>1948</v>
      </c>
      <c r="J41" s="14">
        <v>3.53</v>
      </c>
      <c r="K41" s="35">
        <f t="shared" si="0"/>
        <v>3.5299999999999998E-2</v>
      </c>
    </row>
    <row r="42" spans="1:11">
      <c r="A42" s="66">
        <f t="shared" si="2"/>
        <v>1949</v>
      </c>
      <c r="B42" s="14">
        <v>2.58</v>
      </c>
      <c r="C42" s="35">
        <f t="shared" si="1"/>
        <v>2.58E-2</v>
      </c>
      <c r="I42" s="66">
        <f t="shared" si="3"/>
        <v>1949</v>
      </c>
      <c r="J42" s="14">
        <v>3.31</v>
      </c>
      <c r="K42" s="35">
        <f t="shared" si="0"/>
        <v>3.3099999999999997E-2</v>
      </c>
    </row>
    <row r="43" spans="1:11">
      <c r="A43" s="66">
        <f t="shared" si="2"/>
        <v>1950</v>
      </c>
      <c r="B43" s="14">
        <v>2.67</v>
      </c>
      <c r="C43" s="35">
        <f t="shared" si="1"/>
        <v>2.6699999999999998E-2</v>
      </c>
      <c r="I43" s="66">
        <f t="shared" si="3"/>
        <v>1950</v>
      </c>
      <c r="J43" s="14">
        <v>3.2</v>
      </c>
      <c r="K43" s="35">
        <f t="shared" si="0"/>
        <v>3.2000000000000001E-2</v>
      </c>
    </row>
    <row r="44" spans="1:11">
      <c r="A44" s="66">
        <f t="shared" si="2"/>
        <v>1951</v>
      </c>
      <c r="B44" s="14">
        <v>3.01</v>
      </c>
      <c r="C44" s="35">
        <f t="shared" si="1"/>
        <v>3.0099999999999998E-2</v>
      </c>
      <c r="I44" s="66">
        <f t="shared" si="3"/>
        <v>1951</v>
      </c>
      <c r="J44" s="14">
        <v>3.61</v>
      </c>
      <c r="K44" s="35">
        <f t="shared" ref="K44:K75" si="4">J44/100</f>
        <v>3.61E-2</v>
      </c>
    </row>
    <row r="45" spans="1:11">
      <c r="A45" s="66">
        <f t="shared" si="2"/>
        <v>1952</v>
      </c>
      <c r="B45" s="14">
        <v>2.97</v>
      </c>
      <c r="C45" s="35">
        <f t="shared" si="1"/>
        <v>2.9700000000000001E-2</v>
      </c>
      <c r="I45" s="66">
        <f t="shared" si="3"/>
        <v>1952</v>
      </c>
      <c r="J45" s="14">
        <v>3.51</v>
      </c>
      <c r="K45" s="35">
        <f t="shared" si="4"/>
        <v>3.5099999999999999E-2</v>
      </c>
    </row>
    <row r="46" spans="1:11">
      <c r="A46" s="66">
        <f t="shared" si="2"/>
        <v>1953</v>
      </c>
      <c r="B46" s="14">
        <v>3.13</v>
      </c>
      <c r="C46" s="35">
        <f t="shared" si="1"/>
        <v>3.1300000000000001E-2</v>
      </c>
      <c r="I46" s="66">
        <f t="shared" si="3"/>
        <v>1953</v>
      </c>
      <c r="J46" s="14">
        <v>3.74</v>
      </c>
      <c r="K46" s="35">
        <f t="shared" si="4"/>
        <v>3.7400000000000003E-2</v>
      </c>
    </row>
    <row r="47" spans="1:11">
      <c r="A47" s="66">
        <f t="shared" si="2"/>
        <v>1954</v>
      </c>
      <c r="B47" s="14">
        <v>2.9</v>
      </c>
      <c r="C47" s="35">
        <f t="shared" si="1"/>
        <v>2.8999999999999998E-2</v>
      </c>
      <c r="I47" s="66">
        <f t="shared" si="3"/>
        <v>1954</v>
      </c>
      <c r="J47" s="14">
        <v>3.45</v>
      </c>
      <c r="K47" s="35">
        <f t="shared" si="4"/>
        <v>3.4500000000000003E-2</v>
      </c>
    </row>
    <row r="48" spans="1:11">
      <c r="A48" s="66">
        <f t="shared" si="2"/>
        <v>1955</v>
      </c>
      <c r="B48" s="14">
        <v>3.15</v>
      </c>
      <c r="C48" s="35">
        <f t="shared" si="1"/>
        <v>3.15E-2</v>
      </c>
      <c r="I48" s="66">
        <f t="shared" si="3"/>
        <v>1955</v>
      </c>
      <c r="J48" s="14">
        <v>3.62</v>
      </c>
      <c r="K48" s="35">
        <f t="shared" si="4"/>
        <v>3.6200000000000003E-2</v>
      </c>
    </row>
    <row r="49" spans="1:11">
      <c r="A49" s="66">
        <f t="shared" si="2"/>
        <v>1956</v>
      </c>
      <c r="B49" s="14">
        <v>3.75</v>
      </c>
      <c r="C49" s="35">
        <f t="shared" si="1"/>
        <v>3.7499999999999999E-2</v>
      </c>
      <c r="I49" s="66">
        <f t="shared" si="3"/>
        <v>1956</v>
      </c>
      <c r="J49" s="14">
        <v>4.37</v>
      </c>
      <c r="K49" s="35">
        <f t="shared" si="4"/>
        <v>4.3700000000000003E-2</v>
      </c>
    </row>
    <row r="50" spans="1:11">
      <c r="A50" s="66">
        <f t="shared" si="2"/>
        <v>1957</v>
      </c>
      <c r="B50" s="14">
        <v>3.81</v>
      </c>
      <c r="C50" s="35">
        <f t="shared" si="1"/>
        <v>3.8100000000000002E-2</v>
      </c>
      <c r="I50" s="66">
        <f t="shared" si="3"/>
        <v>1957</v>
      </c>
      <c r="J50" s="14">
        <v>5.03</v>
      </c>
      <c r="K50" s="35">
        <f t="shared" si="4"/>
        <v>5.0300000000000004E-2</v>
      </c>
    </row>
    <row r="51" spans="1:11">
      <c r="A51" s="66">
        <f t="shared" si="2"/>
        <v>1958</v>
      </c>
      <c r="B51" s="14">
        <v>4.08</v>
      </c>
      <c r="C51" s="35">
        <f t="shared" si="1"/>
        <v>4.0800000000000003E-2</v>
      </c>
      <c r="I51" s="66">
        <f t="shared" si="3"/>
        <v>1958</v>
      </c>
      <c r="J51" s="14">
        <v>4.8499999999999996</v>
      </c>
      <c r="K51" s="35">
        <f t="shared" si="4"/>
        <v>4.8499999999999995E-2</v>
      </c>
    </row>
    <row r="52" spans="1:11">
      <c r="A52" s="66">
        <f t="shared" si="2"/>
        <v>1959</v>
      </c>
      <c r="B52" s="14">
        <v>4.58</v>
      </c>
      <c r="C52" s="35">
        <f t="shared" si="1"/>
        <v>4.58E-2</v>
      </c>
      <c r="I52" s="66">
        <f t="shared" si="3"/>
        <v>1959</v>
      </c>
      <c r="J52" s="14">
        <v>5.28</v>
      </c>
      <c r="K52" s="35">
        <f t="shared" si="4"/>
        <v>5.28E-2</v>
      </c>
    </row>
    <row r="53" spans="1:11">
      <c r="A53" s="66">
        <f t="shared" si="2"/>
        <v>1960</v>
      </c>
      <c r="B53" s="14">
        <v>4.3499999999999996</v>
      </c>
      <c r="C53" s="35">
        <f t="shared" si="1"/>
        <v>4.3499999999999997E-2</v>
      </c>
      <c r="I53" s="66">
        <f t="shared" si="3"/>
        <v>1960</v>
      </c>
      <c r="J53" s="14">
        <v>5.0999999999999996</v>
      </c>
      <c r="K53" s="35">
        <f t="shared" si="4"/>
        <v>5.0999999999999997E-2</v>
      </c>
    </row>
    <row r="54" spans="1:11">
      <c r="A54" s="66">
        <f t="shared" si="2"/>
        <v>1961</v>
      </c>
      <c r="B54" s="14">
        <v>4.42</v>
      </c>
      <c r="C54" s="35">
        <f t="shared" si="1"/>
        <v>4.4199999999999996E-2</v>
      </c>
      <c r="I54" s="66">
        <f t="shared" si="3"/>
        <v>1961</v>
      </c>
      <c r="J54" s="14">
        <v>5.0999999999999996</v>
      </c>
      <c r="K54" s="35">
        <f t="shared" si="4"/>
        <v>5.0999999999999997E-2</v>
      </c>
    </row>
    <row r="55" spans="1:11">
      <c r="A55" s="66">
        <f t="shared" si="2"/>
        <v>1962</v>
      </c>
      <c r="B55" s="14">
        <v>4.24</v>
      </c>
      <c r="C55" s="35">
        <f t="shared" si="1"/>
        <v>4.24E-2</v>
      </c>
      <c r="I55" s="66">
        <f t="shared" si="3"/>
        <v>1962</v>
      </c>
      <c r="J55" s="14">
        <v>4.92</v>
      </c>
      <c r="K55" s="35">
        <f t="shared" si="4"/>
        <v>4.9200000000000001E-2</v>
      </c>
    </row>
    <row r="56" spans="1:11">
      <c r="A56" s="66">
        <f t="shared" si="2"/>
        <v>1963</v>
      </c>
      <c r="B56" s="14">
        <v>4.3499999999999996</v>
      </c>
      <c r="C56" s="35">
        <f t="shared" si="1"/>
        <v>4.3499999999999997E-2</v>
      </c>
      <c r="I56" s="66">
        <f t="shared" si="3"/>
        <v>1963</v>
      </c>
      <c r="J56" s="14">
        <v>4.8499999999999996</v>
      </c>
      <c r="K56" s="35">
        <f t="shared" si="4"/>
        <v>4.8499999999999995E-2</v>
      </c>
    </row>
    <row r="57" spans="1:11">
      <c r="A57" s="66">
        <f t="shared" si="2"/>
        <v>1964</v>
      </c>
      <c r="B57" s="14">
        <v>4.4400000000000004</v>
      </c>
      <c r="C57" s="35">
        <f t="shared" si="1"/>
        <v>4.4400000000000002E-2</v>
      </c>
      <c r="I57" s="66">
        <f t="shared" si="3"/>
        <v>1964</v>
      </c>
      <c r="J57" s="14">
        <v>4.8099999999999996</v>
      </c>
      <c r="K57" s="35">
        <f t="shared" si="4"/>
        <v>4.8099999999999997E-2</v>
      </c>
    </row>
    <row r="58" spans="1:11">
      <c r="A58" s="66">
        <f t="shared" si="2"/>
        <v>1965</v>
      </c>
      <c r="B58" s="14">
        <v>4.68</v>
      </c>
      <c r="C58" s="35">
        <f t="shared" si="1"/>
        <v>4.6799999999999994E-2</v>
      </c>
      <c r="I58" s="66">
        <f t="shared" si="3"/>
        <v>1965</v>
      </c>
      <c r="J58" s="14">
        <v>5.0199999999999996</v>
      </c>
      <c r="K58" s="35">
        <f t="shared" si="4"/>
        <v>5.0199999999999995E-2</v>
      </c>
    </row>
    <row r="59" spans="1:11">
      <c r="A59" s="66">
        <f t="shared" si="2"/>
        <v>1966</v>
      </c>
      <c r="B59" s="14">
        <v>5.39</v>
      </c>
      <c r="C59" s="35">
        <f t="shared" si="1"/>
        <v>5.3899999999999997E-2</v>
      </c>
      <c r="I59" s="66">
        <f t="shared" si="3"/>
        <v>1966</v>
      </c>
      <c r="J59" s="14">
        <v>6.18</v>
      </c>
      <c r="K59" s="35">
        <f t="shared" si="4"/>
        <v>6.1799999999999994E-2</v>
      </c>
    </row>
    <row r="60" spans="1:11">
      <c r="A60" s="66">
        <f t="shared" si="2"/>
        <v>1967</v>
      </c>
      <c r="B60" s="14">
        <v>6.19</v>
      </c>
      <c r="C60" s="35">
        <f t="shared" si="1"/>
        <v>6.1900000000000004E-2</v>
      </c>
      <c r="I60" s="66">
        <f t="shared" si="3"/>
        <v>1967</v>
      </c>
      <c r="J60" s="14">
        <v>6.93</v>
      </c>
      <c r="K60" s="35">
        <f t="shared" si="4"/>
        <v>6.93E-2</v>
      </c>
    </row>
    <row r="61" spans="1:11">
      <c r="A61" s="66">
        <f t="shared" si="2"/>
        <v>1968</v>
      </c>
      <c r="B61" s="14">
        <v>6.45</v>
      </c>
      <c r="C61" s="35">
        <f t="shared" si="1"/>
        <v>6.4500000000000002E-2</v>
      </c>
      <c r="I61" s="66">
        <f t="shared" si="3"/>
        <v>1968</v>
      </c>
      <c r="J61" s="14">
        <v>7.23</v>
      </c>
      <c r="K61" s="35">
        <f t="shared" si="4"/>
        <v>7.2300000000000003E-2</v>
      </c>
    </row>
    <row r="62" spans="1:11">
      <c r="A62" s="66">
        <f t="shared" si="2"/>
        <v>1969</v>
      </c>
      <c r="B62" s="14">
        <v>7.72</v>
      </c>
      <c r="C62" s="35">
        <f t="shared" si="1"/>
        <v>7.7199999999999991E-2</v>
      </c>
      <c r="I62" s="66">
        <f t="shared" si="3"/>
        <v>1969</v>
      </c>
      <c r="J62" s="14">
        <v>8.65</v>
      </c>
      <c r="K62" s="35">
        <f t="shared" si="4"/>
        <v>8.6500000000000007E-2</v>
      </c>
    </row>
    <row r="63" spans="1:11">
      <c r="A63" s="66">
        <f t="shared" si="2"/>
        <v>1970</v>
      </c>
      <c r="B63" s="14">
        <v>7.64</v>
      </c>
      <c r="C63" s="35">
        <f t="shared" si="1"/>
        <v>7.6399999999999996E-2</v>
      </c>
      <c r="I63" s="66">
        <f t="shared" si="3"/>
        <v>1970</v>
      </c>
      <c r="J63" s="14">
        <v>9.1199999999999992</v>
      </c>
      <c r="K63" s="35">
        <f t="shared" si="4"/>
        <v>9.1199999999999989E-2</v>
      </c>
    </row>
    <row r="64" spans="1:11">
      <c r="A64" s="66">
        <f t="shared" si="2"/>
        <v>1971</v>
      </c>
      <c r="B64" s="14">
        <v>7.25</v>
      </c>
      <c r="C64" s="35">
        <f t="shared" si="1"/>
        <v>7.2499999999999995E-2</v>
      </c>
      <c r="I64" s="66">
        <f t="shared" si="3"/>
        <v>1971</v>
      </c>
      <c r="J64" s="14">
        <v>8.3800000000000008</v>
      </c>
      <c r="K64" s="35">
        <f t="shared" si="4"/>
        <v>8.3800000000000013E-2</v>
      </c>
    </row>
    <row r="65" spans="1:15">
      <c r="A65" s="66">
        <f t="shared" si="2"/>
        <v>1972</v>
      </c>
      <c r="B65" s="14">
        <v>7.08</v>
      </c>
      <c r="C65" s="35">
        <f t="shared" si="1"/>
        <v>7.0800000000000002E-2</v>
      </c>
      <c r="I65" s="66">
        <f t="shared" si="3"/>
        <v>1972</v>
      </c>
      <c r="J65" s="14">
        <v>7.93</v>
      </c>
      <c r="K65" s="35">
        <f t="shared" si="4"/>
        <v>7.9299999999999995E-2</v>
      </c>
    </row>
    <row r="66" spans="1:15">
      <c r="A66" s="66">
        <f t="shared" si="2"/>
        <v>1973</v>
      </c>
      <c r="B66" s="14">
        <v>7.68</v>
      </c>
      <c r="C66" s="35">
        <f t="shared" si="1"/>
        <v>7.6799999999999993E-2</v>
      </c>
      <c r="I66" s="66">
        <f t="shared" si="3"/>
        <v>1973</v>
      </c>
      <c r="J66" s="14">
        <v>8.48</v>
      </c>
      <c r="K66" s="35">
        <f t="shared" si="4"/>
        <v>8.48E-2</v>
      </c>
    </row>
    <row r="67" spans="1:15">
      <c r="A67" s="66">
        <f t="shared" si="2"/>
        <v>1974</v>
      </c>
      <c r="B67" s="14">
        <v>8.89</v>
      </c>
      <c r="C67" s="35">
        <f t="shared" si="1"/>
        <v>8.8900000000000007E-2</v>
      </c>
      <c r="I67" s="66">
        <f t="shared" si="3"/>
        <v>1974</v>
      </c>
      <c r="J67" s="14">
        <v>10.63</v>
      </c>
      <c r="K67" s="35">
        <f t="shared" si="4"/>
        <v>0.10630000000000001</v>
      </c>
    </row>
    <row r="68" spans="1:15">
      <c r="A68" s="66">
        <f t="shared" si="2"/>
        <v>1975</v>
      </c>
      <c r="B68" s="14">
        <v>8.7899999999999991</v>
      </c>
      <c r="C68" s="35">
        <f t="shared" si="1"/>
        <v>8.7899999999999992E-2</v>
      </c>
      <c r="I68" s="66">
        <f t="shared" si="3"/>
        <v>1975</v>
      </c>
      <c r="J68" s="14">
        <v>10.56</v>
      </c>
      <c r="K68" s="35">
        <f t="shared" si="4"/>
        <v>0.1056</v>
      </c>
    </row>
    <row r="69" spans="1:15">
      <c r="A69" s="66">
        <f t="shared" si="2"/>
        <v>1976</v>
      </c>
      <c r="B69" s="14">
        <v>7.98</v>
      </c>
      <c r="C69" s="35">
        <f t="shared" si="1"/>
        <v>7.980000000000001E-2</v>
      </c>
      <c r="I69" s="66">
        <f t="shared" si="3"/>
        <v>1976</v>
      </c>
      <c r="J69" s="14">
        <v>9.1199999999999992</v>
      </c>
      <c r="K69" s="35">
        <f t="shared" si="4"/>
        <v>9.1199999999999989E-2</v>
      </c>
    </row>
    <row r="70" spans="1:15">
      <c r="A70" s="66">
        <f t="shared" si="2"/>
        <v>1977</v>
      </c>
      <c r="B70" s="14">
        <v>8.19</v>
      </c>
      <c r="C70" s="35">
        <f t="shared" si="1"/>
        <v>8.1900000000000001E-2</v>
      </c>
      <c r="I70" s="66">
        <f t="shared" si="3"/>
        <v>1977</v>
      </c>
      <c r="J70" s="14">
        <v>8.99</v>
      </c>
      <c r="K70" s="35">
        <f t="shared" si="4"/>
        <v>8.9900000000000008E-2</v>
      </c>
    </row>
    <row r="71" spans="1:15">
      <c r="A71" s="66">
        <f t="shared" si="2"/>
        <v>1978</v>
      </c>
      <c r="B71" s="14">
        <v>9.16</v>
      </c>
      <c r="C71" s="35">
        <f t="shared" si="1"/>
        <v>9.1600000000000001E-2</v>
      </c>
      <c r="I71" s="66">
        <f t="shared" si="3"/>
        <v>1978</v>
      </c>
      <c r="J71" s="14">
        <v>9.94</v>
      </c>
      <c r="K71" s="35">
        <f t="shared" si="4"/>
        <v>9.9399999999999988E-2</v>
      </c>
    </row>
    <row r="72" spans="1:15">
      <c r="A72" s="66">
        <f t="shared" si="2"/>
        <v>1979</v>
      </c>
      <c r="B72" s="14">
        <v>10.74</v>
      </c>
      <c r="C72" s="35">
        <f t="shared" si="1"/>
        <v>0.1074</v>
      </c>
      <c r="I72" s="66">
        <f t="shared" si="3"/>
        <v>1979</v>
      </c>
      <c r="J72" s="14">
        <v>12.06</v>
      </c>
      <c r="K72" s="35">
        <f t="shared" si="4"/>
        <v>0.1206</v>
      </c>
    </row>
    <row r="73" spans="1:15">
      <c r="A73" s="66">
        <f t="shared" si="2"/>
        <v>1980</v>
      </c>
      <c r="B73" s="14">
        <v>13.21</v>
      </c>
      <c r="C73" s="35">
        <f t="shared" si="1"/>
        <v>0.1321</v>
      </c>
      <c r="I73" s="66">
        <f t="shared" si="3"/>
        <v>1980</v>
      </c>
      <c r="J73" s="14">
        <v>15.14</v>
      </c>
      <c r="K73" s="35">
        <f t="shared" si="4"/>
        <v>0.15140000000000001</v>
      </c>
    </row>
    <row r="74" spans="1:15">
      <c r="A74" s="66">
        <f t="shared" si="2"/>
        <v>1981</v>
      </c>
      <c r="B74" s="14">
        <v>14.23</v>
      </c>
      <c r="C74" s="35">
        <f t="shared" si="1"/>
        <v>0.14230000000000001</v>
      </c>
      <c r="I74" s="66">
        <f t="shared" si="3"/>
        <v>1981</v>
      </c>
      <c r="J74" s="14">
        <v>16.55</v>
      </c>
      <c r="K74" s="35">
        <f t="shared" si="4"/>
        <v>0.16550000000000001</v>
      </c>
    </row>
    <row r="75" spans="1:15">
      <c r="A75" s="66">
        <f t="shared" si="2"/>
        <v>1982</v>
      </c>
      <c r="B75" s="14">
        <v>11.83</v>
      </c>
      <c r="C75" s="35">
        <f t="shared" si="1"/>
        <v>0.1183</v>
      </c>
      <c r="I75" s="66">
        <f t="shared" si="3"/>
        <v>1982</v>
      </c>
      <c r="J75" s="14">
        <v>14.14</v>
      </c>
      <c r="K75" s="35">
        <f t="shared" si="4"/>
        <v>0.1414</v>
      </c>
    </row>
    <row r="76" spans="1:15">
      <c r="A76" s="66">
        <f t="shared" si="2"/>
        <v>1983</v>
      </c>
      <c r="B76" s="14">
        <v>12.55</v>
      </c>
      <c r="C76" s="35">
        <f t="shared" si="1"/>
        <v>0.1255</v>
      </c>
      <c r="I76" s="66">
        <f t="shared" si="3"/>
        <v>1983</v>
      </c>
      <c r="J76" s="14">
        <v>13.75</v>
      </c>
      <c r="K76" s="35">
        <f t="shared" ref="K76:K78" si="5">J76/100</f>
        <v>0.13750000000000001</v>
      </c>
    </row>
    <row r="77" spans="1:15">
      <c r="A77" s="66">
        <f t="shared" si="2"/>
        <v>1984</v>
      </c>
      <c r="B77" s="14">
        <v>12.15</v>
      </c>
      <c r="C77" s="35">
        <f t="shared" ref="C77:C118" si="6">B77/100</f>
        <v>0.1215</v>
      </c>
      <c r="I77" s="66">
        <f t="shared" si="3"/>
        <v>1984</v>
      </c>
      <c r="J77" s="14">
        <v>13.4</v>
      </c>
      <c r="K77" s="35">
        <f t="shared" si="5"/>
        <v>0.13400000000000001</v>
      </c>
    </row>
    <row r="78" spans="1:15">
      <c r="A78" s="66">
        <f t="shared" ref="A78:A118" si="7">A77+1</f>
        <v>1985</v>
      </c>
      <c r="B78" s="14">
        <v>9.91</v>
      </c>
      <c r="C78" s="35">
        <f t="shared" si="6"/>
        <v>9.9100000000000008E-2</v>
      </c>
      <c r="I78" s="66">
        <f t="shared" ref="I78:I118" si="8">I77+1</f>
        <v>1985</v>
      </c>
      <c r="J78" s="14">
        <v>11.58</v>
      </c>
      <c r="K78" s="35">
        <f t="shared" si="5"/>
        <v>0.1158</v>
      </c>
    </row>
    <row r="79" spans="1:15" ht="15.4">
      <c r="A79" s="66">
        <f t="shared" si="7"/>
        <v>1986</v>
      </c>
      <c r="B79" s="14">
        <v>8.5299999999999994</v>
      </c>
      <c r="C79" s="35">
        <f t="shared" si="6"/>
        <v>8.5299999999999987E-2</v>
      </c>
      <c r="I79" s="66">
        <f t="shared" si="8"/>
        <v>1986</v>
      </c>
      <c r="J79" s="14"/>
      <c r="K79" s="35">
        <f t="shared" ref="K79:K117" si="9">O79+M79/100</f>
        <v>9.8699999999999996E-2</v>
      </c>
      <c r="M79" s="14">
        <v>2.76</v>
      </c>
      <c r="O79" s="2">
        <v>7.1099999999999997E-2</v>
      </c>
    </row>
    <row r="80" spans="1:15" ht="15.4">
      <c r="A80" s="66">
        <f t="shared" si="7"/>
        <v>1987</v>
      </c>
      <c r="B80" s="14">
        <v>10.06</v>
      </c>
      <c r="C80" s="35">
        <f t="shared" si="6"/>
        <v>0.10060000000000001</v>
      </c>
      <c r="I80" s="66">
        <f t="shared" si="8"/>
        <v>1987</v>
      </c>
      <c r="J80" s="14"/>
      <c r="K80" s="35">
        <f t="shared" si="9"/>
        <v>0.1138</v>
      </c>
      <c r="M80" s="14">
        <v>2.39</v>
      </c>
      <c r="O80" s="2">
        <v>8.9899999999999994E-2</v>
      </c>
    </row>
    <row r="81" spans="1:15" ht="15.4">
      <c r="A81" s="66">
        <f t="shared" si="7"/>
        <v>1988</v>
      </c>
      <c r="B81" s="14">
        <v>9.61</v>
      </c>
      <c r="C81" s="35">
        <f t="shared" si="6"/>
        <v>9.6099999999999991E-2</v>
      </c>
      <c r="I81" s="66">
        <f t="shared" si="8"/>
        <v>1988</v>
      </c>
      <c r="J81" s="14"/>
      <c r="K81" s="35">
        <f t="shared" si="9"/>
        <v>0.1066</v>
      </c>
      <c r="M81" s="14">
        <v>1.55</v>
      </c>
      <c r="O81" s="2">
        <v>9.11E-2</v>
      </c>
    </row>
    <row r="82" spans="1:15" ht="15.4">
      <c r="A82" s="66">
        <f t="shared" si="7"/>
        <v>1989</v>
      </c>
      <c r="B82" s="14">
        <v>8.8699999999999992</v>
      </c>
      <c r="C82" s="35">
        <f t="shared" si="6"/>
        <v>8.8699999999999987E-2</v>
      </c>
      <c r="I82" s="66">
        <f t="shared" si="8"/>
        <v>1989</v>
      </c>
      <c r="J82" s="14"/>
      <c r="K82" s="35">
        <f t="shared" si="9"/>
        <v>9.7500000000000003E-2</v>
      </c>
      <c r="M82" s="14">
        <v>1.91</v>
      </c>
      <c r="O82" s="2">
        <v>7.8399999999999997E-2</v>
      </c>
    </row>
    <row r="83" spans="1:15" ht="15.4">
      <c r="A83" s="66">
        <f t="shared" si="7"/>
        <v>1990</v>
      </c>
      <c r="B83" s="14">
        <v>9.0500000000000007</v>
      </c>
      <c r="C83" s="35">
        <f t="shared" si="6"/>
        <v>9.0500000000000011E-2</v>
      </c>
      <c r="I83" s="66">
        <f t="shared" si="8"/>
        <v>1990</v>
      </c>
      <c r="J83" s="14"/>
      <c r="K83" s="35">
        <f t="shared" si="9"/>
        <v>0.1043</v>
      </c>
      <c r="M83" s="14">
        <v>2.35</v>
      </c>
      <c r="O83" s="2">
        <v>8.0799999999999997E-2</v>
      </c>
    </row>
    <row r="84" spans="1:15" ht="15.4">
      <c r="A84" s="66">
        <f t="shared" si="7"/>
        <v>1991</v>
      </c>
      <c r="B84" s="14">
        <v>8.16</v>
      </c>
      <c r="C84" s="35">
        <f t="shared" si="6"/>
        <v>8.1600000000000006E-2</v>
      </c>
      <c r="I84" s="66">
        <f t="shared" si="8"/>
        <v>1991</v>
      </c>
      <c r="J84" s="14"/>
      <c r="K84" s="35">
        <f t="shared" si="9"/>
        <v>9.4800000000000009E-2</v>
      </c>
      <c r="M84" s="14">
        <v>2.39</v>
      </c>
      <c r="O84" s="2">
        <v>7.0900000000000005E-2</v>
      </c>
    </row>
    <row r="85" spans="1:15" ht="15.4">
      <c r="A85" s="66">
        <f t="shared" si="7"/>
        <v>1992</v>
      </c>
      <c r="B85" s="14">
        <v>7.91</v>
      </c>
      <c r="C85" s="35">
        <f t="shared" si="6"/>
        <v>7.9100000000000004E-2</v>
      </c>
      <c r="I85" s="66">
        <f t="shared" si="8"/>
        <v>1992</v>
      </c>
      <c r="J85" s="14"/>
      <c r="K85" s="35">
        <f t="shared" si="9"/>
        <v>8.829999999999999E-2</v>
      </c>
      <c r="M85" s="14">
        <v>2.06</v>
      </c>
      <c r="O85" s="2">
        <v>6.7699999999999996E-2</v>
      </c>
    </row>
    <row r="86" spans="1:15" ht="15.4">
      <c r="A86" s="66">
        <f t="shared" si="7"/>
        <v>1993</v>
      </c>
      <c r="B86" s="14">
        <v>7</v>
      </c>
      <c r="C86" s="35">
        <f t="shared" si="6"/>
        <v>7.0000000000000007E-2</v>
      </c>
      <c r="I86" s="66">
        <f t="shared" si="8"/>
        <v>1993</v>
      </c>
      <c r="J86" s="14"/>
      <c r="K86" s="35">
        <f t="shared" si="9"/>
        <v>7.7100000000000002E-2</v>
      </c>
      <c r="M86" s="14">
        <v>1.94</v>
      </c>
      <c r="O86" s="2">
        <v>5.7700000000000001E-2</v>
      </c>
    </row>
    <row r="87" spans="1:15" ht="15.4">
      <c r="A87" s="66">
        <f t="shared" si="7"/>
        <v>1994</v>
      </c>
      <c r="B87" s="14">
        <v>8.49</v>
      </c>
      <c r="C87" s="35">
        <f t="shared" si="6"/>
        <v>8.4900000000000003E-2</v>
      </c>
      <c r="I87" s="66">
        <f t="shared" si="8"/>
        <v>1994</v>
      </c>
      <c r="J87" s="14"/>
      <c r="K87" s="35">
        <f t="shared" si="9"/>
        <v>9.11E-2</v>
      </c>
      <c r="M87" s="14">
        <v>1.3</v>
      </c>
      <c r="O87" s="2">
        <v>7.8100000000000003E-2</v>
      </c>
    </row>
    <row r="88" spans="1:15" ht="15.4">
      <c r="A88" s="66">
        <f t="shared" si="7"/>
        <v>1995</v>
      </c>
      <c r="B88" s="14">
        <v>6.71</v>
      </c>
      <c r="C88" s="35">
        <f t="shared" si="6"/>
        <v>6.7099999999999993E-2</v>
      </c>
      <c r="I88" s="66">
        <f t="shared" si="8"/>
        <v>1995</v>
      </c>
      <c r="J88" s="14"/>
      <c r="K88" s="35">
        <f t="shared" si="9"/>
        <v>7.51E-2</v>
      </c>
      <c r="M88" s="14">
        <v>1.8</v>
      </c>
      <c r="O88" s="2">
        <v>5.7099999999999998E-2</v>
      </c>
    </row>
    <row r="89" spans="1:15" ht="15.4">
      <c r="A89" s="66">
        <f t="shared" si="7"/>
        <v>1996</v>
      </c>
      <c r="B89" s="14">
        <v>7.27</v>
      </c>
      <c r="C89" s="35">
        <f t="shared" si="6"/>
        <v>7.2700000000000001E-2</v>
      </c>
      <c r="I89" s="66">
        <f t="shared" si="8"/>
        <v>1996</v>
      </c>
      <c r="J89" s="14"/>
      <c r="K89" s="35">
        <f t="shared" si="9"/>
        <v>7.8399999999999997E-2</v>
      </c>
      <c r="M89" s="14">
        <v>1.54</v>
      </c>
      <c r="O89" s="2">
        <v>6.3E-2</v>
      </c>
    </row>
    <row r="90" spans="1:15" ht="15.4">
      <c r="A90" s="66">
        <f t="shared" si="7"/>
        <v>1997</v>
      </c>
      <c r="B90" s="14">
        <v>6.71</v>
      </c>
      <c r="C90" s="35">
        <f t="shared" si="6"/>
        <v>6.7099999999999993E-2</v>
      </c>
      <c r="I90" s="66">
        <f t="shared" si="8"/>
        <v>1997</v>
      </c>
      <c r="J90" s="14"/>
      <c r="K90" s="35">
        <f t="shared" si="9"/>
        <v>7.3399999999999993E-2</v>
      </c>
      <c r="M90" s="14">
        <v>1.53</v>
      </c>
      <c r="O90" s="2">
        <v>5.8099999999999999E-2</v>
      </c>
    </row>
    <row r="91" spans="1:15" ht="15.4">
      <c r="A91" s="66">
        <f t="shared" si="7"/>
        <v>1998</v>
      </c>
      <c r="B91" s="14">
        <v>6.23</v>
      </c>
      <c r="C91" s="35">
        <f t="shared" si="6"/>
        <v>6.2300000000000001E-2</v>
      </c>
      <c r="I91" s="66">
        <f t="shared" si="8"/>
        <v>1998</v>
      </c>
      <c r="J91" s="14"/>
      <c r="K91" s="35">
        <f t="shared" si="9"/>
        <v>7.2300000000000003E-2</v>
      </c>
      <c r="M91" s="14">
        <v>2.58</v>
      </c>
      <c r="O91" s="2">
        <v>4.65E-2</v>
      </c>
    </row>
    <row r="92" spans="1:15" ht="15.4">
      <c r="A92" s="66">
        <f t="shared" si="7"/>
        <v>1999</v>
      </c>
      <c r="B92" s="14">
        <v>7.64</v>
      </c>
      <c r="C92" s="35">
        <f t="shared" si="6"/>
        <v>7.6399999999999996E-2</v>
      </c>
      <c r="I92" s="66">
        <f t="shared" si="8"/>
        <v>1999</v>
      </c>
      <c r="J92" s="14"/>
      <c r="K92" s="35">
        <f t="shared" si="9"/>
        <v>8.1699999999999995E-2</v>
      </c>
      <c r="M92" s="14">
        <v>1.73</v>
      </c>
      <c r="O92" s="2">
        <v>6.4399999999999999E-2</v>
      </c>
    </row>
    <row r="93" spans="1:15" ht="15.4">
      <c r="A93" s="66">
        <f t="shared" si="7"/>
        <v>2000</v>
      </c>
      <c r="B93" s="14">
        <v>7.16</v>
      </c>
      <c r="C93" s="35">
        <f t="shared" si="6"/>
        <v>7.1599999999999997E-2</v>
      </c>
      <c r="I93" s="66">
        <f t="shared" si="8"/>
        <v>2000</v>
      </c>
      <c r="J93" s="14"/>
      <c r="K93" s="35">
        <f t="shared" si="9"/>
        <v>7.9899999999999999E-2</v>
      </c>
      <c r="M93" s="14">
        <v>2.88</v>
      </c>
      <c r="O93" s="2">
        <v>5.11E-2</v>
      </c>
    </row>
    <row r="94" spans="1:15" ht="15.4">
      <c r="A94" s="66">
        <f t="shared" si="7"/>
        <v>2001</v>
      </c>
      <c r="B94" s="14">
        <v>6.61</v>
      </c>
      <c r="C94" s="35">
        <f t="shared" si="6"/>
        <v>6.6100000000000006E-2</v>
      </c>
      <c r="I94" s="66">
        <f t="shared" si="8"/>
        <v>2001</v>
      </c>
      <c r="J94" s="14"/>
      <c r="K94" s="35">
        <f t="shared" si="9"/>
        <v>7.9000000000000001E-2</v>
      </c>
      <c r="M94" s="14">
        <v>2.85</v>
      </c>
      <c r="O94" s="2">
        <v>5.0500000000000003E-2</v>
      </c>
    </row>
    <row r="95" spans="1:15" ht="15.4">
      <c r="A95" s="66">
        <f t="shared" si="7"/>
        <v>2002</v>
      </c>
      <c r="B95" s="14">
        <v>6.09</v>
      </c>
      <c r="C95" s="35">
        <f t="shared" si="6"/>
        <v>6.0899999999999996E-2</v>
      </c>
      <c r="I95" s="66">
        <f t="shared" si="8"/>
        <v>2002</v>
      </c>
      <c r="J95" s="14"/>
      <c r="K95" s="35">
        <f t="shared" si="9"/>
        <v>7.2999999999999995E-2</v>
      </c>
      <c r="M95" s="14">
        <v>3.48</v>
      </c>
      <c r="O95" s="2">
        <v>3.8199999999999998E-2</v>
      </c>
    </row>
    <row r="96" spans="1:15" ht="15.4">
      <c r="A96" s="66">
        <f t="shared" si="7"/>
        <v>2003</v>
      </c>
      <c r="B96" s="14">
        <v>5.63</v>
      </c>
      <c r="C96" s="35">
        <f t="shared" si="6"/>
        <v>5.6299999999999996E-2</v>
      </c>
      <c r="I96" s="66">
        <f t="shared" si="8"/>
        <v>2003</v>
      </c>
      <c r="J96" s="14"/>
      <c r="K96" s="35">
        <f t="shared" si="9"/>
        <v>6.59E-2</v>
      </c>
      <c r="M96" s="14">
        <v>2.34</v>
      </c>
      <c r="O96" s="2">
        <v>4.2500000000000003E-2</v>
      </c>
    </row>
    <row r="97" spans="1:15" ht="15.4">
      <c r="A97" s="66">
        <f t="shared" si="7"/>
        <v>2004</v>
      </c>
      <c r="B97" s="14">
        <v>5.43</v>
      </c>
      <c r="C97" s="35">
        <f t="shared" si="6"/>
        <v>5.4299999999999994E-2</v>
      </c>
      <c r="I97" s="66">
        <f t="shared" si="8"/>
        <v>2004</v>
      </c>
      <c r="J97" s="14"/>
      <c r="K97" s="35">
        <f t="shared" si="9"/>
        <v>6.0800000000000007E-2</v>
      </c>
      <c r="M97" s="14">
        <v>1.86</v>
      </c>
      <c r="O97" s="2">
        <v>4.2200000000000001E-2</v>
      </c>
    </row>
    <row r="98" spans="1:15" ht="15.4">
      <c r="A98" s="66">
        <f t="shared" si="7"/>
        <v>2005</v>
      </c>
      <c r="B98" s="14">
        <v>5.26</v>
      </c>
      <c r="C98" s="35">
        <f t="shared" si="6"/>
        <v>5.2600000000000001E-2</v>
      </c>
      <c r="I98" s="66">
        <f t="shared" si="8"/>
        <v>2005</v>
      </c>
      <c r="J98" s="14"/>
      <c r="K98" s="35">
        <f t="shared" si="9"/>
        <v>6.2100000000000002E-2</v>
      </c>
      <c r="M98" s="14">
        <v>1.82</v>
      </c>
      <c r="O98" s="2">
        <v>4.3900000000000002E-2</v>
      </c>
    </row>
    <row r="99" spans="1:15" ht="15.4">
      <c r="A99" s="66">
        <f t="shared" si="7"/>
        <v>2006</v>
      </c>
      <c r="B99" s="14">
        <v>5.46</v>
      </c>
      <c r="C99" s="35">
        <f t="shared" si="6"/>
        <v>5.4600000000000003E-2</v>
      </c>
      <c r="I99" s="66">
        <f t="shared" si="8"/>
        <v>2006</v>
      </c>
      <c r="J99" s="14"/>
      <c r="K99" s="35">
        <f t="shared" si="9"/>
        <v>6.3399999999999998E-2</v>
      </c>
      <c r="M99" s="14">
        <v>1.64</v>
      </c>
      <c r="O99" s="2">
        <v>4.7E-2</v>
      </c>
    </row>
    <row r="100" spans="1:15">
      <c r="A100" s="66">
        <f t="shared" si="7"/>
        <v>2007</v>
      </c>
      <c r="B100" s="14">
        <v>5.41</v>
      </c>
      <c r="C100" s="35">
        <f t="shared" si="6"/>
        <v>5.4100000000000002E-2</v>
      </c>
      <c r="I100" s="66">
        <f t="shared" si="8"/>
        <v>2007</v>
      </c>
      <c r="J100" s="14"/>
      <c r="K100" s="35">
        <f t="shared" si="9"/>
        <v>6.54E-2</v>
      </c>
      <c r="M100" s="14">
        <v>2.52</v>
      </c>
      <c r="O100" s="17">
        <v>4.02E-2</v>
      </c>
    </row>
    <row r="101" spans="1:15">
      <c r="A101" s="66">
        <f t="shared" si="7"/>
        <v>2008</v>
      </c>
      <c r="B101" s="14">
        <v>4.7</v>
      </c>
      <c r="C101" s="35">
        <f t="shared" si="6"/>
        <v>4.7E-2</v>
      </c>
      <c r="I101" s="66">
        <f t="shared" si="8"/>
        <v>2008</v>
      </c>
      <c r="J101" s="14"/>
      <c r="K101" s="35">
        <f t="shared" si="9"/>
        <v>8.030000000000001E-2</v>
      </c>
      <c r="M101" s="14">
        <v>5.82</v>
      </c>
      <c r="O101" s="17">
        <v>2.2100000000000002E-2</v>
      </c>
    </row>
    <row r="102" spans="1:15">
      <c r="A102" s="66">
        <f t="shared" si="7"/>
        <v>2009</v>
      </c>
      <c r="B102" s="14">
        <v>5.33</v>
      </c>
      <c r="C102" s="35">
        <f t="shared" si="6"/>
        <v>5.33E-2</v>
      </c>
      <c r="I102" s="66">
        <f t="shared" si="8"/>
        <v>2009</v>
      </c>
      <c r="J102" s="14"/>
      <c r="K102" s="35">
        <f t="shared" si="9"/>
        <v>6.3799999999999996E-2</v>
      </c>
      <c r="M102" s="14">
        <v>2.54</v>
      </c>
      <c r="O102" s="17">
        <v>3.8399999999999997E-2</v>
      </c>
    </row>
    <row r="103" spans="1:15">
      <c r="A103" s="66">
        <f t="shared" si="7"/>
        <v>2010</v>
      </c>
      <c r="B103" s="14">
        <v>4.88</v>
      </c>
      <c r="C103" s="35">
        <f t="shared" si="6"/>
        <v>4.8799999999999996E-2</v>
      </c>
      <c r="I103" s="66">
        <f t="shared" si="8"/>
        <v>2010</v>
      </c>
      <c r="J103" s="14"/>
      <c r="K103" s="35">
        <f t="shared" si="9"/>
        <v>5.9700000000000003E-2</v>
      </c>
      <c r="M103" s="14">
        <v>2.68</v>
      </c>
      <c r="O103" s="17">
        <v>3.2899999999999999E-2</v>
      </c>
    </row>
    <row r="104" spans="1:15">
      <c r="A104" s="66">
        <f t="shared" si="7"/>
        <v>2011</v>
      </c>
      <c r="B104" s="14">
        <v>3.77</v>
      </c>
      <c r="C104" s="35">
        <f t="shared" si="6"/>
        <v>3.7699999999999997E-2</v>
      </c>
      <c r="I104" s="66">
        <f t="shared" si="8"/>
        <v>2011</v>
      </c>
      <c r="J104" s="14"/>
      <c r="K104" s="35">
        <f t="shared" si="9"/>
        <v>5.1500000000000004E-2</v>
      </c>
      <c r="M104" s="14">
        <v>3.27</v>
      </c>
      <c r="O104" s="17">
        <v>1.8800000000000001E-2</v>
      </c>
    </row>
    <row r="105" spans="1:15">
      <c r="A105" s="66">
        <f t="shared" si="7"/>
        <v>2012</v>
      </c>
      <c r="B105" s="14">
        <v>3.67</v>
      </c>
      <c r="C105" s="35">
        <f t="shared" si="6"/>
        <v>3.6699999999999997E-2</v>
      </c>
      <c r="I105" s="66">
        <f t="shared" si="8"/>
        <v>2012</v>
      </c>
      <c r="J105" s="14"/>
      <c r="K105" s="35">
        <f t="shared" si="9"/>
        <v>4.6100000000000002E-2</v>
      </c>
      <c r="M105" s="14">
        <v>2.85</v>
      </c>
      <c r="O105" s="17">
        <v>1.7600000000000001E-2</v>
      </c>
    </row>
    <row r="106" spans="1:15">
      <c r="A106" s="66">
        <f t="shared" si="7"/>
        <v>2013</v>
      </c>
      <c r="B106" s="14">
        <v>4.57</v>
      </c>
      <c r="C106" s="35">
        <f t="shared" si="6"/>
        <v>4.5700000000000005E-2</v>
      </c>
      <c r="I106" s="66">
        <f t="shared" si="8"/>
        <v>2013</v>
      </c>
      <c r="J106" s="14"/>
      <c r="K106" s="35">
        <f t="shared" si="9"/>
        <v>5.3659999999999999E-2</v>
      </c>
      <c r="M106" s="14">
        <v>2.33</v>
      </c>
      <c r="O106" s="17">
        <v>3.0360000000000002E-2</v>
      </c>
    </row>
    <row r="107" spans="1:15">
      <c r="A107" s="66">
        <f t="shared" si="7"/>
        <v>2014</v>
      </c>
      <c r="B107" s="14">
        <v>3.72</v>
      </c>
      <c r="C107" s="35">
        <f t="shared" si="6"/>
        <v>3.7200000000000004E-2</v>
      </c>
      <c r="I107" s="66">
        <f t="shared" si="8"/>
        <v>2014</v>
      </c>
      <c r="J107" s="14"/>
      <c r="K107" s="35">
        <f t="shared" si="9"/>
        <v>4.6799999999999994E-2</v>
      </c>
      <c r="M107" s="14">
        <v>2.5099999999999998</v>
      </c>
      <c r="O107" s="20">
        <v>2.1700000000000001E-2</v>
      </c>
    </row>
    <row r="108" spans="1:15">
      <c r="A108" s="66">
        <f t="shared" si="7"/>
        <v>2015</v>
      </c>
      <c r="B108" s="14">
        <v>4.04</v>
      </c>
      <c r="C108" s="35">
        <f t="shared" si="6"/>
        <v>4.0399999999999998E-2</v>
      </c>
      <c r="I108" s="66">
        <f t="shared" si="8"/>
        <v>2015</v>
      </c>
      <c r="J108" s="14"/>
      <c r="K108" s="35">
        <f t="shared" si="9"/>
        <v>5.5000000000000007E-2</v>
      </c>
      <c r="M108" s="14">
        <v>3.23</v>
      </c>
      <c r="O108" s="17">
        <v>2.2700000000000001E-2</v>
      </c>
    </row>
    <row r="109" spans="1:15">
      <c r="A109" s="66">
        <f t="shared" si="7"/>
        <v>2016</v>
      </c>
      <c r="B109" s="14">
        <v>3.98</v>
      </c>
      <c r="C109" s="35">
        <f t="shared" si="6"/>
        <v>3.9800000000000002E-2</v>
      </c>
      <c r="I109" s="66">
        <f t="shared" si="8"/>
        <v>2016</v>
      </c>
      <c r="J109" s="14"/>
      <c r="K109" s="35">
        <f t="shared" si="9"/>
        <v>4.7299999999999995E-2</v>
      </c>
      <c r="M109" s="14">
        <v>2.2799999999999998</v>
      </c>
      <c r="O109" s="17">
        <v>2.4500000000000001E-2</v>
      </c>
    </row>
    <row r="110" spans="1:15">
      <c r="A110" s="66">
        <f t="shared" si="7"/>
        <v>2017</v>
      </c>
      <c r="B110" s="14">
        <v>3.45</v>
      </c>
      <c r="C110" s="35">
        <f t="shared" si="6"/>
        <v>3.4500000000000003E-2</v>
      </c>
      <c r="I110" s="66">
        <f t="shared" si="8"/>
        <v>2017</v>
      </c>
      <c r="J110" s="14"/>
      <c r="K110" s="35">
        <f t="shared" si="9"/>
        <v>4.1800000000000004E-2</v>
      </c>
      <c r="M110" s="14">
        <v>1.77</v>
      </c>
      <c r="O110" s="17">
        <v>2.41E-2</v>
      </c>
    </row>
    <row r="111" spans="1:15">
      <c r="A111" s="66">
        <f t="shared" si="7"/>
        <v>2018</v>
      </c>
      <c r="B111" s="14">
        <v>3.99</v>
      </c>
      <c r="C111" s="35">
        <f t="shared" si="6"/>
        <v>3.9900000000000005E-2</v>
      </c>
      <c r="I111" s="66">
        <f t="shared" si="8"/>
        <v>2018</v>
      </c>
      <c r="J111" s="14"/>
      <c r="K111" s="35">
        <f t="shared" si="9"/>
        <v>5.1400000000000001E-2</v>
      </c>
      <c r="M111" s="14">
        <v>2.4500000000000002</v>
      </c>
      <c r="O111" s="17">
        <v>2.69E-2</v>
      </c>
    </row>
    <row r="112" spans="1:15">
      <c r="A112" s="66">
        <f t="shared" si="7"/>
        <v>2019</v>
      </c>
      <c r="B112" s="14">
        <v>3.04</v>
      </c>
      <c r="C112" s="35">
        <f t="shared" si="6"/>
        <v>3.04E-2</v>
      </c>
      <c r="I112" s="66">
        <f t="shared" si="8"/>
        <v>2019</v>
      </c>
      <c r="J112" s="14"/>
      <c r="K112" s="35">
        <f t="shared" si="9"/>
        <v>3.8999999999999993E-2</v>
      </c>
      <c r="M112" s="14">
        <v>1.98</v>
      </c>
      <c r="O112" s="56">
        <v>1.9199999999999998E-2</v>
      </c>
    </row>
    <row r="113" spans="1:15">
      <c r="A113" s="66">
        <f t="shared" si="7"/>
        <v>2020</v>
      </c>
      <c r="B113" s="14">
        <v>2.23</v>
      </c>
      <c r="C113" s="35">
        <f t="shared" si="6"/>
        <v>2.23E-2</v>
      </c>
      <c r="I113" s="66">
        <f t="shared" si="8"/>
        <v>2020</v>
      </c>
      <c r="J113" s="14"/>
      <c r="K113" s="35">
        <f t="shared" si="9"/>
        <v>3.1099999999999999E-2</v>
      </c>
      <c r="M113" s="14">
        <v>2.1800000000000002</v>
      </c>
      <c r="O113" s="10">
        <v>9.2999999999999992E-3</v>
      </c>
    </row>
    <row r="114" spans="1:15">
      <c r="A114" s="66">
        <f t="shared" si="7"/>
        <v>2021</v>
      </c>
      <c r="B114" s="14">
        <v>2.71</v>
      </c>
      <c r="C114" s="35">
        <f t="shared" si="6"/>
        <v>2.7099999999999999E-2</v>
      </c>
      <c r="I114" s="66">
        <f t="shared" si="8"/>
        <v>2021</v>
      </c>
      <c r="J114" s="14"/>
      <c r="K114" s="35">
        <f t="shared" si="9"/>
        <v>3.3600000000000005E-2</v>
      </c>
      <c r="M114" s="14">
        <v>1.85</v>
      </c>
      <c r="O114" s="10">
        <v>1.5100000000000001E-2</v>
      </c>
    </row>
    <row r="115" spans="1:15">
      <c r="A115" s="66">
        <f t="shared" si="7"/>
        <v>2022</v>
      </c>
      <c r="B115" s="14">
        <v>4.7</v>
      </c>
      <c r="C115" s="35">
        <f t="shared" si="6"/>
        <v>4.7E-2</v>
      </c>
      <c r="I115" s="66">
        <f t="shared" si="8"/>
        <v>2022</v>
      </c>
      <c r="J115" s="14"/>
      <c r="K115" s="35">
        <f t="shared" si="9"/>
        <v>5.8700000000000002E-2</v>
      </c>
      <c r="M115" s="14">
        <v>1.99</v>
      </c>
      <c r="O115" s="10">
        <v>3.8800000000000001E-2</v>
      </c>
    </row>
    <row r="116" spans="1:15">
      <c r="A116" s="66">
        <f t="shared" si="7"/>
        <v>2023</v>
      </c>
      <c r="B116" s="14">
        <v>4.6500000000000004</v>
      </c>
      <c r="C116" s="35">
        <f t="shared" si="6"/>
        <v>4.6500000000000007E-2</v>
      </c>
      <c r="I116" s="66">
        <f t="shared" si="8"/>
        <v>2023</v>
      </c>
      <c r="J116" s="14"/>
      <c r="K116" s="35">
        <f t="shared" si="9"/>
        <v>5.4900000000000004E-2</v>
      </c>
      <c r="M116" s="14">
        <v>1.61</v>
      </c>
      <c r="O116" s="10">
        <v>3.8800000000000001E-2</v>
      </c>
    </row>
    <row r="117" spans="1:15">
      <c r="A117" s="66">
        <f t="shared" si="7"/>
        <v>2024</v>
      </c>
      <c r="B117" s="14">
        <v>5.4</v>
      </c>
      <c r="C117" s="35">
        <f t="shared" si="6"/>
        <v>5.4000000000000006E-2</v>
      </c>
      <c r="I117" s="66">
        <f t="shared" si="8"/>
        <v>2024</v>
      </c>
      <c r="J117" s="14"/>
      <c r="K117" s="35">
        <f t="shared" si="9"/>
        <v>0.06</v>
      </c>
      <c r="M117" s="14">
        <v>1.42</v>
      </c>
      <c r="O117" s="10">
        <v>4.58E-2</v>
      </c>
    </row>
    <row r="118" spans="1:15">
      <c r="A118" s="66">
        <f t="shared" si="7"/>
        <v>2025</v>
      </c>
      <c r="B118" s="14">
        <v>5.31</v>
      </c>
      <c r="C118" s="35">
        <f t="shared" si="6"/>
        <v>5.3099999999999994E-2</v>
      </c>
      <c r="I118" s="66">
        <f t="shared" si="8"/>
        <v>2025</v>
      </c>
      <c r="J118" s="35"/>
      <c r="K118" s="35">
        <f>O118+M118/100</f>
        <v>5.8700000000000002E-2</v>
      </c>
      <c r="M118" s="14">
        <v>1.75</v>
      </c>
      <c r="O118" s="10">
        <v>4.1200000000000001E-2</v>
      </c>
    </row>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01"/>
  <sheetViews>
    <sheetView topLeftCell="A58" workbookViewId="0">
      <selection activeCell="A101" sqref="A100:A101"/>
    </sheetView>
  </sheetViews>
  <sheetFormatPr defaultColWidth="11.07421875" defaultRowHeight="13.9"/>
  <cols>
    <col min="1" max="2" width="10.69140625" style="61"/>
    <col min="4" max="4" width="12.3046875" customWidth="1"/>
  </cols>
  <sheetData>
    <row r="2" spans="1:5">
      <c r="A2" s="62" t="s">
        <v>96</v>
      </c>
      <c r="B2" s="62" t="s">
        <v>77</v>
      </c>
      <c r="D2" t="s">
        <v>78</v>
      </c>
      <c r="E2" s="64" t="s">
        <v>79</v>
      </c>
    </row>
    <row r="3" spans="1:5">
      <c r="A3" s="61">
        <v>1927</v>
      </c>
      <c r="B3" s="81">
        <v>5.8379122759411635</v>
      </c>
    </row>
    <row r="4" spans="1:5">
      <c r="A4" s="61">
        <v>1928</v>
      </c>
      <c r="B4" s="81">
        <v>5.9249586816460518</v>
      </c>
      <c r="D4" t="s">
        <v>95</v>
      </c>
      <c r="E4" s="64" t="s">
        <v>90</v>
      </c>
    </row>
    <row r="5" spans="1:5">
      <c r="A5" s="61">
        <v>1929</v>
      </c>
      <c r="B5" s="81">
        <v>5.8030937136592087</v>
      </c>
    </row>
    <row r="6" spans="1:5">
      <c r="A6" s="61">
        <v>1930</v>
      </c>
      <c r="B6" s="81">
        <v>5.5535606839718632</v>
      </c>
    </row>
    <row r="7" spans="1:5">
      <c r="A7" s="61">
        <v>1931</v>
      </c>
      <c r="B7" s="81">
        <v>5.1009193743064447</v>
      </c>
    </row>
    <row r="8" spans="1:5">
      <c r="A8" s="61">
        <v>1932</v>
      </c>
      <c r="B8" s="81">
        <v>4.5670347526497972</v>
      </c>
    </row>
    <row r="9" spans="1:5">
      <c r="A9" s="61">
        <v>1933</v>
      </c>
      <c r="B9" s="81">
        <v>4.3929419412400215</v>
      </c>
    </row>
    <row r="10" spans="1:5">
      <c r="A10" s="61">
        <v>1934</v>
      </c>
      <c r="B10" s="81">
        <v>4.5206100029405238</v>
      </c>
    </row>
    <row r="11" spans="1:5">
      <c r="A11" s="61">
        <v>1935</v>
      </c>
      <c r="B11" s="81">
        <v>4.9620852592390055</v>
      </c>
    </row>
    <row r="12" spans="1:5">
      <c r="A12" s="61">
        <v>1936</v>
      </c>
      <c r="B12" s="81">
        <v>5.1217950075748586</v>
      </c>
    </row>
    <row r="13" spans="1:5">
      <c r="A13" s="61">
        <v>1937</v>
      </c>
      <c r="B13" s="81">
        <v>5.253086651224617</v>
      </c>
    </row>
    <row r="14" spans="1:5">
      <c r="A14" s="61">
        <v>1938</v>
      </c>
      <c r="B14" s="81">
        <v>5.2071914121565737</v>
      </c>
    </row>
    <row r="15" spans="1:5">
      <c r="A15" s="61">
        <v>1939</v>
      </c>
      <c r="B15" s="81">
        <v>5.1394142324802372</v>
      </c>
    </row>
    <row r="16" spans="1:5">
      <c r="A16" s="61">
        <v>1940</v>
      </c>
      <c r="B16" s="81">
        <v>5.3093544985030841</v>
      </c>
    </row>
    <row r="17" spans="1:2">
      <c r="A17" s="61">
        <v>1941</v>
      </c>
      <c r="B17" s="81">
        <v>4.8641848885954095</v>
      </c>
    </row>
    <row r="18" spans="1:2">
      <c r="A18" s="61">
        <v>1942</v>
      </c>
      <c r="B18" s="81">
        <v>5.0263101758295807</v>
      </c>
    </row>
    <row r="19" spans="1:2">
      <c r="A19" s="61">
        <v>1943</v>
      </c>
      <c r="B19" s="81">
        <v>5.6016347051995687</v>
      </c>
    </row>
    <row r="20" spans="1:2">
      <c r="A20" s="61">
        <v>1944</v>
      </c>
      <c r="B20" s="81">
        <v>6.5306225473880071</v>
      </c>
    </row>
    <row r="21" spans="1:2">
      <c r="A21" s="61">
        <v>1945</v>
      </c>
      <c r="B21" s="81">
        <v>7.2997585507171605</v>
      </c>
    </row>
    <row r="22" spans="1:2">
      <c r="A22" s="61">
        <v>1946</v>
      </c>
      <c r="B22" s="81">
        <v>9.0591234118332888</v>
      </c>
    </row>
    <row r="23" spans="1:2">
      <c r="A23" s="61">
        <v>1947</v>
      </c>
      <c r="B23" s="81">
        <v>10.985444637980221</v>
      </c>
    </row>
    <row r="24" spans="1:2">
      <c r="A24" s="61">
        <v>1948</v>
      </c>
      <c r="B24" s="81">
        <v>11.211581706019819</v>
      </c>
    </row>
    <row r="25" spans="1:2">
      <c r="A25" s="61">
        <v>1949</v>
      </c>
      <c r="B25" s="81">
        <v>11.221599087921668</v>
      </c>
    </row>
    <row r="26" spans="1:2">
      <c r="A26" s="61">
        <v>1950</v>
      </c>
      <c r="B26" s="81">
        <v>11.630109342784282</v>
      </c>
    </row>
    <row r="27" spans="1:2">
      <c r="A27" s="61">
        <v>1951</v>
      </c>
      <c r="B27" s="81">
        <v>12.333457433765126</v>
      </c>
    </row>
    <row r="28" spans="1:2">
      <c r="A28" s="61">
        <v>1952</v>
      </c>
      <c r="B28" s="81">
        <v>12.876953685886688</v>
      </c>
    </row>
    <row r="29" spans="1:2">
      <c r="A29" s="61">
        <f>A28+1</f>
        <v>1953</v>
      </c>
      <c r="B29" s="81">
        <v>14.359936883629192</v>
      </c>
    </row>
    <row r="30" spans="1:2">
      <c r="A30" s="61">
        <f t="shared" ref="A30:A93" si="0">A29+1</f>
        <v>1954</v>
      </c>
      <c r="B30" s="81">
        <v>14.492439184746878</v>
      </c>
    </row>
    <row r="31" spans="1:2">
      <c r="A31" s="61">
        <f t="shared" si="0"/>
        <v>1955</v>
      </c>
      <c r="B31" s="81">
        <v>14.492439184746878</v>
      </c>
    </row>
    <row r="32" spans="1:2">
      <c r="A32" s="61">
        <f t="shared" si="0"/>
        <v>1956</v>
      </c>
      <c r="B32" s="81">
        <v>14.624941485864563</v>
      </c>
    </row>
    <row r="33" spans="1:2">
      <c r="A33" s="61">
        <f t="shared" si="0"/>
        <v>1957</v>
      </c>
      <c r="B33" s="81">
        <v>15.022448389217621</v>
      </c>
    </row>
    <row r="34" spans="1:2">
      <c r="A34" s="61">
        <f t="shared" si="0"/>
        <v>1958</v>
      </c>
      <c r="B34" s="81">
        <v>15.121825115055884</v>
      </c>
    </row>
    <row r="35" spans="1:2">
      <c r="A35" s="61">
        <f t="shared" si="0"/>
        <v>1959</v>
      </c>
      <c r="B35" s="81">
        <v>15.138387902695596</v>
      </c>
    </row>
    <row r="36" spans="1:2">
      <c r="A36" s="61">
        <f t="shared" si="0"/>
        <v>1960</v>
      </c>
      <c r="B36" s="81">
        <v>15.25432741617357</v>
      </c>
    </row>
    <row r="37" spans="1:2">
      <c r="A37" s="61">
        <f t="shared" si="0"/>
        <v>1961</v>
      </c>
      <c r="B37" s="81">
        <v>15.403392504930968</v>
      </c>
    </row>
    <row r="38" spans="1:2">
      <c r="A38" s="61">
        <f t="shared" si="0"/>
        <v>1962</v>
      </c>
      <c r="B38" s="81">
        <v>15.453080867850097</v>
      </c>
    </row>
    <row r="39" spans="1:2">
      <c r="A39" s="61">
        <f t="shared" si="0"/>
        <v>1963</v>
      </c>
      <c r="B39" s="81">
        <v>15.784336620644313</v>
      </c>
    </row>
    <row r="40" spans="1:2">
      <c r="A40" s="61">
        <f t="shared" si="0"/>
        <v>1964</v>
      </c>
      <c r="B40" s="81">
        <v>15.983090072320842</v>
      </c>
    </row>
    <row r="41" spans="1:2">
      <c r="A41" s="61">
        <f t="shared" si="0"/>
        <v>1965</v>
      </c>
      <c r="B41" s="81">
        <v>16.248094674556214</v>
      </c>
    </row>
    <row r="42" spans="1:2">
      <c r="A42" s="61">
        <f t="shared" si="0"/>
        <v>1966</v>
      </c>
      <c r="B42" s="81">
        <v>16.446848126232741</v>
      </c>
    </row>
    <row r="43" spans="1:2">
      <c r="A43" s="61">
        <f t="shared" si="0"/>
        <v>1967</v>
      </c>
      <c r="B43" s="81">
        <v>16.827792241946089</v>
      </c>
    </row>
    <row r="44" spans="1:2">
      <c r="A44" s="61">
        <f t="shared" si="0"/>
        <v>1968</v>
      </c>
      <c r="B44" s="81">
        <v>17.523429322813939</v>
      </c>
    </row>
    <row r="45" spans="1:2">
      <c r="A45" s="61">
        <f t="shared" si="0"/>
        <v>1969</v>
      </c>
      <c r="B45" s="81">
        <v>18.749075608152534</v>
      </c>
    </row>
    <row r="46" spans="1:2">
      <c r="A46" s="61">
        <f t="shared" si="0"/>
        <v>1970</v>
      </c>
      <c r="B46" s="81">
        <v>20.289414858645628</v>
      </c>
    </row>
    <row r="47" spans="1:2">
      <c r="A47" s="61">
        <f t="shared" si="0"/>
        <v>1971</v>
      </c>
      <c r="B47" s="81">
        <v>21.150679815910586</v>
      </c>
    </row>
    <row r="48" spans="1:2">
      <c r="A48" s="61">
        <f t="shared" si="0"/>
        <v>1972</v>
      </c>
      <c r="B48" s="81">
        <v>21.780065746219595</v>
      </c>
    </row>
    <row r="49" spans="1:4">
      <c r="A49" s="61">
        <f t="shared" si="0"/>
        <v>1973</v>
      </c>
      <c r="B49" s="81">
        <v>22.525391190006577</v>
      </c>
    </row>
    <row r="50" spans="1:4">
      <c r="A50" s="61">
        <f t="shared" si="0"/>
        <v>1974</v>
      </c>
      <c r="B50" s="81">
        <v>24.794493096646942</v>
      </c>
    </row>
    <row r="51" spans="1:4">
      <c r="A51" s="61">
        <f t="shared" si="0"/>
        <v>1975</v>
      </c>
      <c r="B51" s="63">
        <v>26.474</v>
      </c>
    </row>
    <row r="52" spans="1:4">
      <c r="A52" s="61">
        <f t="shared" si="0"/>
        <v>1976</v>
      </c>
      <c r="B52" s="63">
        <v>28.638999999999999</v>
      </c>
    </row>
    <row r="53" spans="1:4">
      <c r="A53" s="61">
        <f t="shared" si="0"/>
        <v>1977</v>
      </c>
      <c r="B53" s="63">
        <v>32.835999999999999</v>
      </c>
    </row>
    <row r="54" spans="1:4">
      <c r="A54" s="61">
        <f t="shared" si="0"/>
        <v>1978</v>
      </c>
      <c r="B54" s="63">
        <v>37.999000000000002</v>
      </c>
    </row>
    <row r="55" spans="1:4">
      <c r="A55" s="61">
        <f t="shared" si="0"/>
        <v>1979</v>
      </c>
      <c r="B55" s="63">
        <v>43.220999999999997</v>
      </c>
    </row>
    <row r="56" spans="1:4">
      <c r="A56" s="61">
        <f t="shared" si="0"/>
        <v>1980</v>
      </c>
      <c r="B56" s="63">
        <v>46.417999999999999</v>
      </c>
    </row>
    <row r="57" spans="1:4">
      <c r="A57" s="61">
        <f t="shared" si="0"/>
        <v>1981</v>
      </c>
      <c r="B57" s="63">
        <v>48.783000000000001</v>
      </c>
    </row>
    <row r="58" spans="1:4">
      <c r="A58" s="61">
        <f t="shared" si="0"/>
        <v>1982</v>
      </c>
      <c r="B58" s="63">
        <v>49.058</v>
      </c>
    </row>
    <row r="59" spans="1:4">
      <c r="A59" s="61">
        <f t="shared" si="0"/>
        <v>1983</v>
      </c>
      <c r="B59" s="63">
        <v>51.387999999999998</v>
      </c>
    </row>
    <row r="60" spans="1:4">
      <c r="A60" s="61">
        <f t="shared" si="0"/>
        <v>1984</v>
      </c>
      <c r="B60" s="63">
        <v>53.792000000000002</v>
      </c>
    </row>
    <row r="61" spans="1:4">
      <c r="A61" s="61">
        <f t="shared" si="0"/>
        <v>1985</v>
      </c>
      <c r="B61" s="63">
        <v>57.811</v>
      </c>
    </row>
    <row r="62" spans="1:4">
      <c r="A62" s="61">
        <f t="shared" si="0"/>
        <v>1986</v>
      </c>
      <c r="B62" s="63">
        <v>63.368000000000002</v>
      </c>
    </row>
    <row r="63" spans="1:4">
      <c r="A63" s="61">
        <f t="shared" si="0"/>
        <v>1987</v>
      </c>
      <c r="B63">
        <v>68.341999999999899</v>
      </c>
      <c r="D63" s="14"/>
    </row>
    <row r="64" spans="1:4">
      <c r="A64" s="61">
        <f t="shared" si="0"/>
        <v>1988</v>
      </c>
      <c r="B64">
        <v>73.277000000000001</v>
      </c>
      <c r="D64" s="14"/>
    </row>
    <row r="65" spans="1:4">
      <c r="A65" s="61">
        <f t="shared" si="0"/>
        <v>1989</v>
      </c>
      <c r="B65">
        <v>76.497</v>
      </c>
      <c r="D65" s="14"/>
    </row>
    <row r="66" spans="1:4">
      <c r="A66" s="61">
        <f t="shared" si="0"/>
        <v>1990</v>
      </c>
      <c r="B66">
        <v>75.971999999999895</v>
      </c>
      <c r="D66" s="14"/>
    </row>
    <row r="67" spans="1:4">
      <c r="A67" s="61">
        <f t="shared" si="0"/>
        <v>1991</v>
      </c>
      <c r="B67">
        <v>75.843999999999895</v>
      </c>
      <c r="D67" s="14"/>
    </row>
    <row r="68" spans="1:4">
      <c r="A68" s="61">
        <f t="shared" si="0"/>
        <v>1992</v>
      </c>
      <c r="B68">
        <v>76.463999999999899</v>
      </c>
      <c r="D68" s="14"/>
    </row>
    <row r="69" spans="1:4">
      <c r="A69" s="61">
        <f t="shared" si="0"/>
        <v>1993</v>
      </c>
      <c r="B69">
        <v>78.113</v>
      </c>
      <c r="D69" s="14"/>
    </row>
    <row r="70" spans="1:4">
      <c r="A70" s="61">
        <f t="shared" si="0"/>
        <v>1994</v>
      </c>
      <c r="B70">
        <v>80.078000000000003</v>
      </c>
      <c r="D70" s="14"/>
    </row>
    <row r="71" spans="1:4">
      <c r="A71" s="61">
        <f t="shared" si="0"/>
        <v>1995</v>
      </c>
      <c r="B71">
        <v>81.513000000000005</v>
      </c>
      <c r="D71" s="14"/>
    </row>
    <row r="72" spans="1:4">
      <c r="A72" s="61">
        <f t="shared" si="0"/>
        <v>1996</v>
      </c>
      <c r="B72">
        <v>83.489999999999895</v>
      </c>
      <c r="D72" s="14"/>
    </row>
    <row r="73" spans="1:4">
      <c r="A73" s="61">
        <f t="shared" si="0"/>
        <v>1997</v>
      </c>
      <c r="B73">
        <v>86.8479999999999</v>
      </c>
      <c r="D73" s="14"/>
    </row>
    <row r="74" spans="1:4">
      <c r="A74" s="61">
        <f t="shared" si="0"/>
        <v>1998</v>
      </c>
      <c r="B74">
        <v>92.442999999999898</v>
      </c>
      <c r="D74" s="14"/>
    </row>
    <row r="75" spans="1:4">
      <c r="A75" s="61">
        <f t="shared" si="0"/>
        <v>1999</v>
      </c>
      <c r="B75">
        <v>99.542000000000002</v>
      </c>
      <c r="D75" s="14"/>
    </row>
    <row r="76" spans="1:4">
      <c r="A76" s="61">
        <f t="shared" si="0"/>
        <v>2000</v>
      </c>
      <c r="B76">
        <v>108.792</v>
      </c>
      <c r="D76" s="14"/>
    </row>
    <row r="77" spans="1:4">
      <c r="A77" s="61">
        <f t="shared" si="0"/>
        <v>2001</v>
      </c>
      <c r="B77">
        <v>116.05500000000001</v>
      </c>
      <c r="D77" s="14"/>
    </row>
    <row r="78" spans="1:4">
      <c r="A78" s="61">
        <f t="shared" si="0"/>
        <v>2002</v>
      </c>
      <c r="B78">
        <v>127.150999999999</v>
      </c>
      <c r="D78" s="14"/>
    </row>
    <row r="79" spans="1:4">
      <c r="A79" s="61">
        <f t="shared" si="0"/>
        <v>2003</v>
      </c>
      <c r="B79">
        <v>139.628999999999</v>
      </c>
      <c r="D79" s="14"/>
    </row>
    <row r="80" spans="1:4">
      <c r="A80" s="61">
        <f t="shared" si="0"/>
        <v>2004</v>
      </c>
      <c r="B80">
        <v>158.671999999999</v>
      </c>
      <c r="D80" s="14"/>
    </row>
    <row r="81" spans="1:4">
      <c r="A81" s="61">
        <f t="shared" si="0"/>
        <v>2005</v>
      </c>
      <c r="B81">
        <v>180.108</v>
      </c>
      <c r="D81" s="14"/>
    </row>
    <row r="82" spans="1:4">
      <c r="A82" s="61">
        <f t="shared" si="0"/>
        <v>2006</v>
      </c>
      <c r="B82">
        <v>183.22900000000001</v>
      </c>
      <c r="D82" s="14"/>
    </row>
    <row r="83" spans="1:4">
      <c r="A83" s="61">
        <f t="shared" si="0"/>
        <v>2007</v>
      </c>
      <c r="B83">
        <v>173.33599999999899</v>
      </c>
      <c r="D83" s="14"/>
    </row>
    <row r="84" spans="1:4">
      <c r="A84" s="61">
        <f t="shared" si="0"/>
        <v>2008</v>
      </c>
      <c r="B84">
        <v>152.54399999999899</v>
      </c>
      <c r="D84" s="14"/>
    </row>
    <row r="85" spans="1:4">
      <c r="A85" s="61">
        <f t="shared" si="0"/>
        <v>2009</v>
      </c>
      <c r="B85">
        <v>146.664999999999</v>
      </c>
      <c r="D85" s="14"/>
    </row>
    <row r="86" spans="1:4">
      <c r="A86" s="61">
        <f t="shared" si="0"/>
        <v>2010</v>
      </c>
      <c r="B86">
        <v>140.626</v>
      </c>
      <c r="D86" s="14"/>
    </row>
    <row r="87" spans="1:4">
      <c r="A87" s="61">
        <f t="shared" si="0"/>
        <v>2011</v>
      </c>
      <c r="B87">
        <v>135.16200000000001</v>
      </c>
      <c r="D87" s="14"/>
    </row>
    <row r="88" spans="1:4">
      <c r="A88" s="61">
        <f t="shared" si="0"/>
        <v>2012</v>
      </c>
      <c r="B88">
        <v>143.860999999999</v>
      </c>
      <c r="D88" s="14"/>
    </row>
    <row r="89" spans="1:4">
      <c r="A89" s="61">
        <f t="shared" si="0"/>
        <v>2013</v>
      </c>
      <c r="B89">
        <v>159.28100000000001</v>
      </c>
      <c r="D89" s="14"/>
    </row>
    <row r="90" spans="1:4">
      <c r="A90" s="61">
        <f t="shared" si="0"/>
        <v>2014</v>
      </c>
      <c r="B90">
        <v>166.45400000000001</v>
      </c>
      <c r="D90" s="14"/>
    </row>
    <row r="91" spans="1:4">
      <c r="A91" s="61">
        <f t="shared" si="0"/>
        <v>2015</v>
      </c>
      <c r="B91">
        <v>175.100999999999</v>
      </c>
      <c r="D91" s="14"/>
    </row>
    <row r="92" spans="1:4">
      <c r="A92" s="61">
        <f t="shared" si="0"/>
        <v>2016</v>
      </c>
      <c r="B92">
        <v>184.390999999999</v>
      </c>
      <c r="D92" s="14"/>
    </row>
    <row r="93" spans="1:4">
      <c r="A93" s="61">
        <f t="shared" si="0"/>
        <v>2017</v>
      </c>
      <c r="B93">
        <v>195.83600000000001</v>
      </c>
      <c r="D93" s="14"/>
    </row>
    <row r="94" spans="1:4">
      <c r="A94" s="61">
        <f>A93+1</f>
        <v>2018</v>
      </c>
      <c r="B94">
        <v>204.682999999999</v>
      </c>
      <c r="D94" s="14"/>
    </row>
    <row r="95" spans="1:4">
      <c r="A95" s="61">
        <f>A94+1</f>
        <v>2019</v>
      </c>
      <c r="B95">
        <v>212.225999999999</v>
      </c>
      <c r="D95" s="14"/>
    </row>
    <row r="96" spans="1:4">
      <c r="A96" s="61">
        <f>A95+1</f>
        <v>2020</v>
      </c>
      <c r="B96">
        <v>234.35400000000001</v>
      </c>
      <c r="D96" s="14"/>
    </row>
    <row r="97" spans="1:4">
      <c r="A97" s="61">
        <v>2021</v>
      </c>
      <c r="B97">
        <v>278.56400000000002</v>
      </c>
      <c r="D97" s="14"/>
    </row>
    <row r="98" spans="1:4">
      <c r="A98" s="60">
        <v>2022</v>
      </c>
      <c r="B98">
        <v>294.30799999999903</v>
      </c>
      <c r="D98" s="14"/>
    </row>
    <row r="99" spans="1:4">
      <c r="A99" s="61">
        <v>2023</v>
      </c>
      <c r="B99">
        <v>311.01999999999902</v>
      </c>
    </row>
    <row r="100" spans="1:4" ht="16.149999999999999">
      <c r="A100" s="116">
        <v>2025</v>
      </c>
      <c r="B100" s="116">
        <v>323.34699999999998</v>
      </c>
    </row>
    <row r="101" spans="1:4" ht="16.149999999999999">
      <c r="A101" s="22">
        <v>328.44200000000001</v>
      </c>
      <c r="B101" s="22">
        <v>328.44200000000001</v>
      </c>
    </row>
  </sheetData>
  <phoneticPr fontId="42" type="noConversion"/>
  <hyperlinks>
    <hyperlink ref="E2" r:id="rId1" xr:uid="{00000000-0004-0000-0200-000000000000}"/>
    <hyperlink ref="E4" r:id="rId2" xr:uid="{9A9D467E-E9F2-A648-9BFB-8E48B2513A4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
  <sheetViews>
    <sheetView topLeftCell="A57" workbookViewId="0">
      <selection activeCell="A101" sqref="A101"/>
    </sheetView>
  </sheetViews>
  <sheetFormatPr defaultColWidth="11.07421875" defaultRowHeight="13.9"/>
  <cols>
    <col min="1" max="1" width="10.69140625" style="7"/>
  </cols>
  <sheetData>
    <row r="1" spans="1:5">
      <c r="A1" s="7" t="s">
        <v>5</v>
      </c>
      <c r="B1" t="s">
        <v>82</v>
      </c>
      <c r="E1" t="s">
        <v>84</v>
      </c>
    </row>
    <row r="2" spans="1:5">
      <c r="A2" s="7">
        <v>1927</v>
      </c>
      <c r="B2" s="67">
        <v>20.64</v>
      </c>
      <c r="E2" t="s">
        <v>97</v>
      </c>
    </row>
    <row r="3" spans="1:5">
      <c r="A3" s="7">
        <v>1928</v>
      </c>
      <c r="B3" s="67">
        <v>20.66</v>
      </c>
    </row>
    <row r="4" spans="1:5">
      <c r="A4" s="7">
        <f>A3+1</f>
        <v>1929</v>
      </c>
      <c r="B4" s="67">
        <v>20.63</v>
      </c>
    </row>
    <row r="5" spans="1:5">
      <c r="A5" s="7">
        <f t="shared" ref="A5:A43" si="0">A4+1</f>
        <v>1930</v>
      </c>
      <c r="B5" s="67">
        <v>20.65</v>
      </c>
    </row>
    <row r="6" spans="1:5">
      <c r="A6" s="7">
        <f t="shared" si="0"/>
        <v>1931</v>
      </c>
      <c r="B6" s="67">
        <v>17.059999999999999</v>
      </c>
    </row>
    <row r="7" spans="1:5">
      <c r="A7" s="7">
        <f t="shared" si="0"/>
        <v>1932</v>
      </c>
      <c r="B7" s="67">
        <v>20.69</v>
      </c>
    </row>
    <row r="8" spans="1:5">
      <c r="A8" s="7">
        <f t="shared" si="0"/>
        <v>1933</v>
      </c>
      <c r="B8" s="67">
        <v>26.33</v>
      </c>
    </row>
    <row r="9" spans="1:5">
      <c r="A9" s="7">
        <f t="shared" si="0"/>
        <v>1934</v>
      </c>
      <c r="B9" s="67">
        <v>34.69</v>
      </c>
    </row>
    <row r="10" spans="1:5">
      <c r="A10" s="7">
        <f t="shared" si="0"/>
        <v>1935</v>
      </c>
      <c r="B10" s="67">
        <v>34.840000000000003</v>
      </c>
    </row>
    <row r="11" spans="1:5">
      <c r="A11" s="7">
        <f t="shared" si="0"/>
        <v>1936</v>
      </c>
      <c r="B11" s="67">
        <v>34.869999999999997</v>
      </c>
    </row>
    <row r="12" spans="1:5">
      <c r="A12" s="7">
        <f t="shared" si="0"/>
        <v>1937</v>
      </c>
      <c r="B12" s="67">
        <v>34.79</v>
      </c>
    </row>
    <row r="13" spans="1:5">
      <c r="A13" s="7">
        <f t="shared" si="0"/>
        <v>1938</v>
      </c>
      <c r="B13" s="67">
        <v>34.85</v>
      </c>
    </row>
    <row r="14" spans="1:5">
      <c r="A14" s="7">
        <f t="shared" si="0"/>
        <v>1939</v>
      </c>
      <c r="B14" s="67">
        <v>34.42</v>
      </c>
    </row>
    <row r="15" spans="1:5">
      <c r="A15" s="7">
        <f t="shared" si="0"/>
        <v>1940</v>
      </c>
      <c r="B15" s="67">
        <v>33.85</v>
      </c>
    </row>
    <row r="16" spans="1:5">
      <c r="A16" s="7">
        <f t="shared" si="0"/>
        <v>1941</v>
      </c>
      <c r="B16" s="67">
        <v>33.85</v>
      </c>
    </row>
    <row r="17" spans="1:2">
      <c r="A17" s="7">
        <f t="shared" si="0"/>
        <v>1942</v>
      </c>
      <c r="B17" s="67">
        <v>33.85</v>
      </c>
    </row>
    <row r="18" spans="1:2">
      <c r="A18" s="7">
        <f t="shared" si="0"/>
        <v>1943</v>
      </c>
      <c r="B18" s="67">
        <v>33.85</v>
      </c>
    </row>
    <row r="19" spans="1:2">
      <c r="A19" s="7">
        <f t="shared" si="0"/>
        <v>1944</v>
      </c>
      <c r="B19" s="67">
        <v>33.85</v>
      </c>
    </row>
    <row r="20" spans="1:2">
      <c r="A20" s="7">
        <f t="shared" si="0"/>
        <v>1945</v>
      </c>
      <c r="B20" s="67">
        <v>34.71</v>
      </c>
    </row>
    <row r="21" spans="1:2">
      <c r="A21" s="7">
        <f t="shared" si="0"/>
        <v>1946</v>
      </c>
      <c r="B21" s="67">
        <v>34.71</v>
      </c>
    </row>
    <row r="22" spans="1:2">
      <c r="A22" s="7">
        <f t="shared" si="0"/>
        <v>1947</v>
      </c>
      <c r="B22" s="67">
        <v>34.71</v>
      </c>
    </row>
    <row r="23" spans="1:2">
      <c r="A23" s="7">
        <f t="shared" si="0"/>
        <v>1948</v>
      </c>
      <c r="B23" s="67">
        <v>34.71</v>
      </c>
    </row>
    <row r="24" spans="1:2">
      <c r="A24" s="7">
        <f t="shared" si="0"/>
        <v>1949</v>
      </c>
      <c r="B24" s="67">
        <v>31.69</v>
      </c>
    </row>
    <row r="25" spans="1:2">
      <c r="A25" s="7">
        <f t="shared" si="0"/>
        <v>1950</v>
      </c>
      <c r="B25" s="67">
        <v>34.72</v>
      </c>
    </row>
    <row r="26" spans="1:2">
      <c r="A26" s="7">
        <f t="shared" si="0"/>
        <v>1951</v>
      </c>
      <c r="B26" s="67">
        <v>34.72</v>
      </c>
    </row>
    <row r="27" spans="1:2">
      <c r="A27" s="7">
        <f t="shared" si="0"/>
        <v>1952</v>
      </c>
      <c r="B27" s="67">
        <v>34.6</v>
      </c>
    </row>
    <row r="28" spans="1:2">
      <c r="A28" s="7">
        <f t="shared" si="0"/>
        <v>1953</v>
      </c>
      <c r="B28" s="67">
        <v>34.840000000000003</v>
      </c>
    </row>
    <row r="29" spans="1:2">
      <c r="A29" s="7">
        <f t="shared" si="0"/>
        <v>1954</v>
      </c>
      <c r="B29" s="67">
        <v>35.04</v>
      </c>
    </row>
    <row r="30" spans="1:2">
      <c r="A30" s="7">
        <f t="shared" si="0"/>
        <v>1955</v>
      </c>
      <c r="B30" s="67">
        <v>35.03</v>
      </c>
    </row>
    <row r="31" spans="1:2">
      <c r="A31" s="7">
        <f t="shared" si="0"/>
        <v>1956</v>
      </c>
      <c r="B31" s="67">
        <v>34.99</v>
      </c>
    </row>
    <row r="32" spans="1:2">
      <c r="A32" s="7">
        <f t="shared" si="0"/>
        <v>1957</v>
      </c>
      <c r="B32" s="67">
        <v>34.950000000000003</v>
      </c>
    </row>
    <row r="33" spans="1:2">
      <c r="A33" s="7">
        <f t="shared" si="0"/>
        <v>1958</v>
      </c>
      <c r="B33" s="67">
        <v>35.1</v>
      </c>
    </row>
    <row r="34" spans="1:2">
      <c r="A34" s="7">
        <f t="shared" si="0"/>
        <v>1959</v>
      </c>
      <c r="B34" s="67">
        <v>35.1</v>
      </c>
    </row>
    <row r="35" spans="1:2">
      <c r="A35" s="7">
        <f t="shared" si="0"/>
        <v>1960</v>
      </c>
      <c r="B35" s="67">
        <v>35.270000000000003</v>
      </c>
    </row>
    <row r="36" spans="1:2">
      <c r="A36" s="7">
        <f t="shared" si="0"/>
        <v>1961</v>
      </c>
      <c r="B36" s="67">
        <v>35.25</v>
      </c>
    </row>
    <row r="37" spans="1:2">
      <c r="A37" s="7">
        <f t="shared" si="0"/>
        <v>1962</v>
      </c>
      <c r="B37" s="67">
        <v>35.229999999999997</v>
      </c>
    </row>
    <row r="38" spans="1:2">
      <c r="A38" s="7">
        <f t="shared" si="0"/>
        <v>1963</v>
      </c>
      <c r="B38" s="67">
        <v>35.090000000000003</v>
      </c>
    </row>
    <row r="39" spans="1:2">
      <c r="A39" s="7">
        <f t="shared" si="0"/>
        <v>1964</v>
      </c>
      <c r="B39" s="67">
        <v>35.1</v>
      </c>
    </row>
    <row r="40" spans="1:2">
      <c r="A40" s="7">
        <f t="shared" si="0"/>
        <v>1965</v>
      </c>
      <c r="B40" s="67">
        <v>35.119999999999997</v>
      </c>
    </row>
    <row r="41" spans="1:2">
      <c r="A41" s="7">
        <f t="shared" si="0"/>
        <v>1966</v>
      </c>
      <c r="B41" s="67">
        <v>35.130000000000003</v>
      </c>
    </row>
    <row r="42" spans="1:2">
      <c r="A42" s="7">
        <f t="shared" si="0"/>
        <v>1967</v>
      </c>
      <c r="B42" s="67">
        <v>34.950000000000003</v>
      </c>
    </row>
    <row r="43" spans="1:2">
      <c r="A43" s="7">
        <f t="shared" si="0"/>
        <v>1968</v>
      </c>
      <c r="B43" s="67">
        <v>39.31</v>
      </c>
    </row>
    <row r="44" spans="1:2">
      <c r="A44" s="7">
        <v>1969</v>
      </c>
      <c r="B44" s="67">
        <v>41.28</v>
      </c>
    </row>
    <row r="45" spans="1:2">
      <c r="A45" s="7">
        <v>1970</v>
      </c>
      <c r="B45" s="67">
        <v>37.380000000000003</v>
      </c>
    </row>
    <row r="46" spans="1:2">
      <c r="A46" s="7">
        <v>1971</v>
      </c>
      <c r="B46" s="67">
        <v>43.62</v>
      </c>
    </row>
    <row r="47" spans="1:2">
      <c r="A47" s="7">
        <f t="shared" ref="A47:A68" si="1">A46+1</f>
        <v>1972</v>
      </c>
      <c r="B47" s="67">
        <v>64.900000000000006</v>
      </c>
    </row>
    <row r="48" spans="1:2">
      <c r="A48" s="7">
        <f t="shared" si="1"/>
        <v>1973</v>
      </c>
      <c r="B48" s="67">
        <v>112.25</v>
      </c>
    </row>
    <row r="49" spans="1:2">
      <c r="A49" s="7">
        <f t="shared" si="1"/>
        <v>1974</v>
      </c>
      <c r="B49" s="67">
        <v>186.5</v>
      </c>
    </row>
    <row r="50" spans="1:2">
      <c r="A50" s="7">
        <f t="shared" si="1"/>
        <v>1975</v>
      </c>
      <c r="B50" s="67">
        <v>140.25</v>
      </c>
    </row>
    <row r="51" spans="1:2">
      <c r="A51" s="7">
        <f t="shared" si="1"/>
        <v>1976</v>
      </c>
      <c r="B51" s="67">
        <v>134.5</v>
      </c>
    </row>
    <row r="52" spans="1:2">
      <c r="A52" s="7">
        <f t="shared" si="1"/>
        <v>1977</v>
      </c>
      <c r="B52" s="67">
        <v>164.95</v>
      </c>
    </row>
    <row r="53" spans="1:2">
      <c r="A53" s="7">
        <f t="shared" si="1"/>
        <v>1978</v>
      </c>
      <c r="B53" s="67">
        <v>226</v>
      </c>
    </row>
    <row r="54" spans="1:2">
      <c r="A54" s="7">
        <f t="shared" si="1"/>
        <v>1979</v>
      </c>
      <c r="B54" s="67">
        <v>512</v>
      </c>
    </row>
    <row r="55" spans="1:2">
      <c r="A55" s="7">
        <f t="shared" si="1"/>
        <v>1980</v>
      </c>
      <c r="B55" s="67">
        <v>589.75</v>
      </c>
    </row>
    <row r="56" spans="1:2">
      <c r="A56" s="7">
        <f t="shared" si="1"/>
        <v>1981</v>
      </c>
      <c r="B56" s="67">
        <v>397.5</v>
      </c>
    </row>
    <row r="57" spans="1:2">
      <c r="A57" s="7">
        <f t="shared" si="1"/>
        <v>1982</v>
      </c>
      <c r="B57" s="67">
        <v>459.6</v>
      </c>
    </row>
    <row r="58" spans="1:2">
      <c r="A58" s="7">
        <f t="shared" si="1"/>
        <v>1983</v>
      </c>
      <c r="B58" s="67">
        <v>382.4</v>
      </c>
    </row>
    <row r="59" spans="1:2">
      <c r="A59" s="7">
        <f t="shared" si="1"/>
        <v>1984</v>
      </c>
      <c r="B59" s="67">
        <v>308.3</v>
      </c>
    </row>
    <row r="60" spans="1:2">
      <c r="A60" s="7">
        <f t="shared" si="1"/>
        <v>1985</v>
      </c>
      <c r="B60" s="67">
        <v>326.8</v>
      </c>
    </row>
    <row r="61" spans="1:2">
      <c r="A61" s="7">
        <f t="shared" si="1"/>
        <v>1986</v>
      </c>
      <c r="B61" s="67">
        <v>388.75</v>
      </c>
    </row>
    <row r="62" spans="1:2">
      <c r="A62" s="7">
        <f t="shared" si="1"/>
        <v>1987</v>
      </c>
      <c r="B62" s="67">
        <v>484.1</v>
      </c>
    </row>
    <row r="63" spans="1:2">
      <c r="A63" s="7">
        <f t="shared" si="1"/>
        <v>1988</v>
      </c>
      <c r="B63" s="67">
        <v>410.25</v>
      </c>
    </row>
    <row r="64" spans="1:2">
      <c r="A64" s="7">
        <f t="shared" si="1"/>
        <v>1989</v>
      </c>
      <c r="B64" s="67">
        <v>398.6</v>
      </c>
    </row>
    <row r="65" spans="1:2">
      <c r="A65" s="7">
        <f t="shared" si="1"/>
        <v>1990</v>
      </c>
      <c r="B65" s="67">
        <v>386.2</v>
      </c>
    </row>
    <row r="66" spans="1:2">
      <c r="A66" s="7">
        <f t="shared" si="1"/>
        <v>1991</v>
      </c>
      <c r="B66" s="67">
        <v>353.15</v>
      </c>
    </row>
    <row r="67" spans="1:2">
      <c r="A67" s="7">
        <f t="shared" si="1"/>
        <v>1992</v>
      </c>
      <c r="B67" s="67">
        <v>332.9</v>
      </c>
    </row>
    <row r="68" spans="1:2">
      <c r="A68" s="7">
        <f t="shared" si="1"/>
        <v>1993</v>
      </c>
      <c r="B68" s="67">
        <v>391.75</v>
      </c>
    </row>
    <row r="69" spans="1:2">
      <c r="A69" s="7">
        <f t="shared" ref="A69:A97" si="2">A68+1</f>
        <v>1994</v>
      </c>
      <c r="B69" s="67">
        <v>383.25</v>
      </c>
    </row>
    <row r="70" spans="1:2">
      <c r="A70" s="7">
        <f t="shared" si="2"/>
        <v>1995</v>
      </c>
      <c r="B70" s="67">
        <v>387</v>
      </c>
    </row>
    <row r="71" spans="1:2">
      <c r="A71" s="7">
        <f t="shared" si="2"/>
        <v>1996</v>
      </c>
      <c r="B71" s="67">
        <v>369.25</v>
      </c>
    </row>
    <row r="72" spans="1:2">
      <c r="A72" s="7">
        <f t="shared" si="2"/>
        <v>1997</v>
      </c>
      <c r="B72" s="67">
        <v>290.2</v>
      </c>
    </row>
    <row r="73" spans="1:2">
      <c r="A73" s="7">
        <f t="shared" si="2"/>
        <v>1998</v>
      </c>
      <c r="B73" s="67">
        <v>287.8</v>
      </c>
    </row>
    <row r="74" spans="1:2">
      <c r="A74" s="7">
        <f t="shared" si="2"/>
        <v>1999</v>
      </c>
      <c r="B74" s="67">
        <v>290.25</v>
      </c>
    </row>
    <row r="75" spans="1:2">
      <c r="A75" s="7">
        <f t="shared" si="2"/>
        <v>2000</v>
      </c>
      <c r="B75" s="67">
        <v>274.45</v>
      </c>
    </row>
    <row r="76" spans="1:2">
      <c r="A76" s="7">
        <f t="shared" si="2"/>
        <v>2001</v>
      </c>
      <c r="B76" s="67">
        <v>276.5</v>
      </c>
    </row>
    <row r="77" spans="1:2">
      <c r="A77" s="7">
        <f t="shared" si="2"/>
        <v>2002</v>
      </c>
      <c r="B77" s="67">
        <v>347.2</v>
      </c>
    </row>
    <row r="78" spans="1:2">
      <c r="A78" s="7">
        <f t="shared" si="2"/>
        <v>2003</v>
      </c>
      <c r="B78" s="67">
        <v>416.25</v>
      </c>
    </row>
    <row r="79" spans="1:2">
      <c r="A79" s="7">
        <f t="shared" si="2"/>
        <v>2004</v>
      </c>
      <c r="B79" s="67">
        <v>435.6</v>
      </c>
    </row>
    <row r="80" spans="1:2">
      <c r="A80" s="7">
        <f t="shared" si="2"/>
        <v>2005</v>
      </c>
      <c r="B80" s="67">
        <v>513</v>
      </c>
    </row>
    <row r="81" spans="1:2">
      <c r="A81" s="7">
        <f t="shared" si="2"/>
        <v>2006</v>
      </c>
      <c r="B81" s="67">
        <v>632</v>
      </c>
    </row>
    <row r="82" spans="1:2">
      <c r="A82" s="7">
        <f t="shared" si="2"/>
        <v>2007</v>
      </c>
      <c r="B82" s="67">
        <v>833.75</v>
      </c>
    </row>
    <row r="83" spans="1:2">
      <c r="A83" s="7">
        <f t="shared" si="2"/>
        <v>2008</v>
      </c>
      <c r="B83" s="67">
        <v>869.75</v>
      </c>
    </row>
    <row r="84" spans="1:2">
      <c r="A84" s="7">
        <f t="shared" si="2"/>
        <v>2009</v>
      </c>
      <c r="B84" s="67">
        <v>1087.5</v>
      </c>
    </row>
    <row r="85" spans="1:2">
      <c r="A85" s="7">
        <f t="shared" si="2"/>
        <v>2010</v>
      </c>
      <c r="B85" s="67">
        <v>1405.5</v>
      </c>
    </row>
    <row r="86" spans="1:2">
      <c r="A86" s="7">
        <f>A85+1</f>
        <v>2011</v>
      </c>
      <c r="B86" s="67">
        <v>1574.5</v>
      </c>
    </row>
    <row r="87" spans="1:2">
      <c r="A87" s="7">
        <f t="shared" si="2"/>
        <v>2012</v>
      </c>
      <c r="B87" s="67">
        <v>1664</v>
      </c>
    </row>
    <row r="88" spans="1:2">
      <c r="A88" s="7">
        <f t="shared" si="2"/>
        <v>2013</v>
      </c>
      <c r="B88" s="67">
        <v>1204.5</v>
      </c>
    </row>
    <row r="89" spans="1:2">
      <c r="A89" s="7">
        <f t="shared" si="2"/>
        <v>2014</v>
      </c>
      <c r="B89" s="67">
        <v>1206</v>
      </c>
    </row>
    <row r="90" spans="1:2">
      <c r="A90" s="7">
        <f t="shared" si="2"/>
        <v>2015</v>
      </c>
      <c r="B90" s="67">
        <v>1060</v>
      </c>
    </row>
    <row r="91" spans="1:2">
      <c r="A91" s="7">
        <f t="shared" si="2"/>
        <v>2016</v>
      </c>
      <c r="B91" s="67">
        <v>1145.9000000000001</v>
      </c>
    </row>
    <row r="92" spans="1:2">
      <c r="A92" s="7">
        <f t="shared" si="2"/>
        <v>2017</v>
      </c>
      <c r="B92" s="67">
        <v>1291</v>
      </c>
    </row>
    <row r="93" spans="1:2">
      <c r="A93" s="7">
        <f t="shared" si="2"/>
        <v>2018</v>
      </c>
      <c r="B93" s="67">
        <v>1279</v>
      </c>
    </row>
    <row r="94" spans="1:2">
      <c r="A94" s="7">
        <f t="shared" si="2"/>
        <v>2019</v>
      </c>
      <c r="B94" s="67">
        <v>1523</v>
      </c>
    </row>
    <row r="95" spans="1:2">
      <c r="A95" s="7">
        <f t="shared" si="2"/>
        <v>2020</v>
      </c>
      <c r="B95" s="67">
        <v>1891.1</v>
      </c>
    </row>
    <row r="96" spans="1:2">
      <c r="A96" s="7">
        <f t="shared" si="2"/>
        <v>2021</v>
      </c>
      <c r="B96" s="67">
        <v>1820.1</v>
      </c>
    </row>
    <row r="97" spans="1:2">
      <c r="A97" s="7">
        <f t="shared" si="2"/>
        <v>2022</v>
      </c>
      <c r="B97" s="67">
        <v>1830.1</v>
      </c>
    </row>
    <row r="98" spans="1:2">
      <c r="A98" s="7">
        <v>2023</v>
      </c>
      <c r="B98" s="67">
        <v>2072.81</v>
      </c>
    </row>
    <row r="99" spans="1:2">
      <c r="A99" s="7">
        <v>2024</v>
      </c>
      <c r="B99" s="67">
        <v>2610.85</v>
      </c>
    </row>
    <row r="100" spans="1:2">
      <c r="A100" s="7">
        <v>2025</v>
      </c>
      <c r="B100" s="67">
        <v>4339.6450000000004</v>
      </c>
    </row>
  </sheetData>
  <phoneticPr fontId="42" type="noConversion"/>
  <printOptions gridLines="1" gridLinesSet="0"/>
  <pageMargins left="0.75" right="0.75" top="1" bottom="1" header="0.5" footer="0.5"/>
  <headerFooter alignWithMargins="0">
    <oddHeader>&amp;A</oddHeader>
    <oddFooter>Page &amp;P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9"/>
  <sheetViews>
    <sheetView topLeftCell="A62" workbookViewId="0">
      <selection activeCell="K98" sqref="K98:K99"/>
    </sheetView>
  </sheetViews>
  <sheetFormatPr defaultColWidth="11.07421875" defaultRowHeight="13.9"/>
  <cols>
    <col min="10" max="10" width="13.3828125" customWidth="1"/>
  </cols>
  <sheetData>
    <row r="1" spans="1:18" ht="81" thickBot="1">
      <c r="A1" s="84" t="s">
        <v>5</v>
      </c>
      <c r="B1" s="85" t="s">
        <v>23</v>
      </c>
      <c r="C1" s="86" t="s">
        <v>21</v>
      </c>
      <c r="D1" s="86" t="s">
        <v>94</v>
      </c>
      <c r="E1" s="109" t="s">
        <v>24</v>
      </c>
      <c r="F1" s="109" t="s">
        <v>112</v>
      </c>
      <c r="G1" s="109" t="s">
        <v>113</v>
      </c>
      <c r="H1" s="109" t="s">
        <v>114</v>
      </c>
      <c r="I1" s="121" t="s">
        <v>5</v>
      </c>
      <c r="J1" s="109" t="s">
        <v>115</v>
      </c>
      <c r="K1" s="109" t="s">
        <v>116</v>
      </c>
      <c r="O1" s="93"/>
      <c r="P1" s="94" t="s">
        <v>99</v>
      </c>
      <c r="Q1" s="94" t="s">
        <v>100</v>
      </c>
      <c r="R1" s="94" t="s">
        <v>101</v>
      </c>
    </row>
    <row r="2" spans="1:18" ht="16.5" thickBot="1">
      <c r="A2" s="87">
        <v>1928</v>
      </c>
      <c r="B2" s="80">
        <v>0.43811155152887893</v>
      </c>
      <c r="C2" s="80">
        <v>3.0800000000000001E-2</v>
      </c>
      <c r="D2" s="80">
        <v>8.354708589799302E-3</v>
      </c>
      <c r="E2" s="100">
        <v>-1.15607E-2</v>
      </c>
      <c r="F2" s="101">
        <v>0.45493157903462444</v>
      </c>
      <c r="G2" s="101">
        <v>4.2856147059308514E-2</v>
      </c>
      <c r="H2" s="101">
        <v>2.0148337474844569E-2</v>
      </c>
      <c r="I2" s="87">
        <v>1928</v>
      </c>
      <c r="J2" s="110">
        <f>100*(1+B2)</f>
        <v>143.81115515288789</v>
      </c>
      <c r="K2" s="112">
        <f>100*(1+F2)</f>
        <v>145.49315790346245</v>
      </c>
      <c r="O2" s="95" t="s">
        <v>102</v>
      </c>
      <c r="P2" s="96">
        <v>0.1166</v>
      </c>
      <c r="Q2" s="96">
        <v>3.3399999999999999E-2</v>
      </c>
      <c r="R2" s="96">
        <v>4.8599999999999997E-2</v>
      </c>
    </row>
    <row r="3" spans="1:18" ht="31.15" thickBot="1">
      <c r="A3" s="88">
        <v>1929</v>
      </c>
      <c r="B3" s="79">
        <v>-8.2979466119096595E-2</v>
      </c>
      <c r="C3" s="79">
        <v>3.1600000000000003E-2</v>
      </c>
      <c r="D3" s="79">
        <v>4.2038041563204259E-2</v>
      </c>
      <c r="E3" s="102">
        <v>5.8479999999999999E-3</v>
      </c>
      <c r="F3" s="103">
        <v>-8.8311023255100762E-2</v>
      </c>
      <c r="G3" s="103">
        <v>2.5602277878963742E-2</v>
      </c>
      <c r="H3" s="103">
        <v>3.5979632671342188E-2</v>
      </c>
      <c r="I3" s="88">
        <v>1929</v>
      </c>
      <c r="J3" s="111">
        <f>J2*(1+B3)</f>
        <v>131.87778227633069</v>
      </c>
      <c r="K3" s="112">
        <f>K2*(1+F4)</f>
        <v>116.3830920556033</v>
      </c>
      <c r="O3" s="97" t="s">
        <v>103</v>
      </c>
      <c r="P3" s="98">
        <v>0.02</v>
      </c>
      <c r="Q3" s="98">
        <v>3.0999999999999999E-3</v>
      </c>
      <c r="R3" s="98">
        <v>8.0999999999999996E-3</v>
      </c>
    </row>
    <row r="4" spans="1:18" ht="16.5" thickBot="1">
      <c r="A4" s="87">
        <v>1930</v>
      </c>
      <c r="B4" s="79">
        <v>-0.25123636363636365</v>
      </c>
      <c r="C4" s="79">
        <v>4.5499999999999999E-2</v>
      </c>
      <c r="D4" s="79">
        <v>4.5409314348970366E-2</v>
      </c>
      <c r="E4" s="100">
        <v>-6.3953499999999996E-2</v>
      </c>
      <c r="F4" s="104">
        <v>-0.20007858972429649</v>
      </c>
      <c r="G4" s="104">
        <v>0.11693169089356137</v>
      </c>
      <c r="H4" s="104">
        <v>0.11683480932728285</v>
      </c>
      <c r="I4" s="87">
        <v>1930</v>
      </c>
      <c r="J4" s="111">
        <f t="shared" ref="J4:J67" si="0">J3*(1+B4)</f>
        <v>98.745287812797272</v>
      </c>
      <c r="K4" s="112">
        <f t="shared" ref="K4:K67" si="1">K3*(1+F5)</f>
        <v>72.079035091665432</v>
      </c>
      <c r="O4" s="97" t="s">
        <v>104</v>
      </c>
      <c r="P4" s="98">
        <v>0.1452</v>
      </c>
      <c r="Q4" s="98">
        <v>2.9399999999999999E-2</v>
      </c>
      <c r="R4" s="98">
        <v>3.2800000000000003E-2</v>
      </c>
    </row>
    <row r="5" spans="1:18" ht="31.15" thickBot="1">
      <c r="A5" s="88">
        <v>1931</v>
      </c>
      <c r="B5" s="79">
        <v>-0.43837548891786188</v>
      </c>
      <c r="C5" s="79">
        <v>2.3099999999999999E-2</v>
      </c>
      <c r="D5" s="79">
        <v>-2.5588559619422531E-2</v>
      </c>
      <c r="E5" s="102">
        <v>-9.3167700000000006E-2</v>
      </c>
      <c r="F5" s="103">
        <v>-0.38067434179159909</v>
      </c>
      <c r="G5" s="103">
        <v>0.1282130113803841</v>
      </c>
      <c r="H5" s="103">
        <v>7.4522202595317166E-2</v>
      </c>
      <c r="I5" s="88">
        <v>1931</v>
      </c>
      <c r="J5" s="111">
        <f t="shared" si="0"/>
        <v>55.457773989527276</v>
      </c>
      <c r="K5" s="112">
        <f t="shared" si="1"/>
        <v>73.389742227401911</v>
      </c>
      <c r="O5" s="97" t="s">
        <v>105</v>
      </c>
      <c r="P5" s="98">
        <v>0.19550000000000001</v>
      </c>
      <c r="Q5" s="98">
        <v>3.0099999999999998E-2</v>
      </c>
      <c r="R5" s="98">
        <v>7.9500000000000001E-2</v>
      </c>
    </row>
    <row r="6" spans="1:18" ht="16.5" thickBot="1">
      <c r="A6" s="87">
        <v>1932</v>
      </c>
      <c r="B6" s="79">
        <v>-8.642364532019696E-2</v>
      </c>
      <c r="C6" s="79">
        <v>1.0699999999999999E-2</v>
      </c>
      <c r="D6" s="79">
        <v>8.7903069904773257E-2</v>
      </c>
      <c r="E6" s="100">
        <v>-0.1027397</v>
      </c>
      <c r="F6" s="104">
        <v>1.8184304688174668E-2</v>
      </c>
      <c r="G6" s="104">
        <v>0.12642897495854877</v>
      </c>
      <c r="H6" s="104">
        <v>0.21247208853971733</v>
      </c>
      <c r="I6" s="87">
        <v>1932</v>
      </c>
      <c r="J6" s="111">
        <f t="shared" si="0"/>
        <v>50.664911000008722</v>
      </c>
      <c r="K6" s="112">
        <f t="shared" si="1"/>
        <v>109.23769178854852</v>
      </c>
      <c r="O6" s="97" t="s">
        <v>106</v>
      </c>
      <c r="P6" s="99">
        <v>2.9815999999999998</v>
      </c>
      <c r="Q6" s="99">
        <v>3.8456999999999999</v>
      </c>
      <c r="R6" s="99">
        <v>4.6460999999999997</v>
      </c>
    </row>
    <row r="7" spans="1:18" ht="16.5" thickBot="1">
      <c r="A7" s="88">
        <v>1933</v>
      </c>
      <c r="B7" s="79">
        <v>0.49982225433526023</v>
      </c>
      <c r="C7" s="79">
        <v>9.5999999999999992E-3</v>
      </c>
      <c r="D7" s="79">
        <v>1.8552720891857361E-2</v>
      </c>
      <c r="E7" s="102">
        <v>7.6336000000000008E-3</v>
      </c>
      <c r="F7" s="103">
        <v>0.48845994648775148</v>
      </c>
      <c r="G7" s="103">
        <v>1.9515030066485917E-3</v>
      </c>
      <c r="H7" s="103">
        <v>1.0836400147690162E-2</v>
      </c>
      <c r="I7" s="88">
        <v>1933</v>
      </c>
      <c r="J7" s="111">
        <f t="shared" si="0"/>
        <v>75.988361031728402</v>
      </c>
      <c r="K7" s="112">
        <f t="shared" si="1"/>
        <v>106.32829686569495</v>
      </c>
      <c r="O7" s="97" t="s">
        <v>107</v>
      </c>
      <c r="P7" s="99">
        <v>-0.43099999999999999</v>
      </c>
      <c r="Q7" s="99">
        <v>1.0153000000000001</v>
      </c>
      <c r="R7" s="99">
        <v>0.69259999999999999</v>
      </c>
    </row>
    <row r="8" spans="1:18" ht="16.5" thickBot="1">
      <c r="A8" s="87">
        <v>1934</v>
      </c>
      <c r="B8" s="79">
        <v>-1.1885656970912803E-2</v>
      </c>
      <c r="C8" s="79">
        <v>2.7833333333333334E-3</v>
      </c>
      <c r="D8" s="79">
        <v>7.9634426179656104E-2</v>
      </c>
      <c r="E8" s="100">
        <v>1.51515E-2</v>
      </c>
      <c r="F8" s="104">
        <v>-2.6633617712147228E-2</v>
      </c>
      <c r="G8" s="104">
        <v>-1.2183567346023327E-2</v>
      </c>
      <c r="H8" s="104">
        <v>6.3520495393698306E-2</v>
      </c>
      <c r="I8" s="87">
        <v>1934</v>
      </c>
      <c r="J8" s="111">
        <f t="shared" si="0"/>
        <v>75.085189438723404</v>
      </c>
      <c r="K8" s="112">
        <f t="shared" si="1"/>
        <v>151.50408745540773</v>
      </c>
      <c r="O8" s="97" t="s">
        <v>108</v>
      </c>
      <c r="P8" s="98">
        <v>-0.43840000000000001</v>
      </c>
      <c r="Q8" s="98">
        <v>2.9999999999999997E-4</v>
      </c>
      <c r="R8" s="98">
        <v>-0.17829999999999999</v>
      </c>
    </row>
    <row r="9" spans="1:18" ht="16.5" thickBot="1">
      <c r="A9" s="88">
        <v>1935</v>
      </c>
      <c r="B9" s="79">
        <v>0.46740421052631581</v>
      </c>
      <c r="C9" s="79">
        <v>1.6750000000000001E-3</v>
      </c>
      <c r="D9" s="79">
        <v>4.4720477296566127E-2</v>
      </c>
      <c r="E9" s="102">
        <v>2.9850699999999997E-2</v>
      </c>
      <c r="F9" s="103">
        <v>0.42487081916467706</v>
      </c>
      <c r="G9" s="103">
        <v>-2.7359014272651194E-2</v>
      </c>
      <c r="H9" s="103">
        <v>1.4438769907682891E-2</v>
      </c>
      <c r="I9" s="88">
        <v>1935</v>
      </c>
      <c r="J9" s="111">
        <f t="shared" si="0"/>
        <v>110.18032313054879</v>
      </c>
      <c r="K9" s="112">
        <f t="shared" si="1"/>
        <v>197.04394126350121</v>
      </c>
      <c r="O9" s="97" t="s">
        <v>109</v>
      </c>
      <c r="P9" s="98">
        <v>0.52559999999999996</v>
      </c>
      <c r="Q9" s="98">
        <v>0.1404</v>
      </c>
      <c r="R9" s="98">
        <v>0.3281</v>
      </c>
    </row>
    <row r="10" spans="1:18" ht="31.15" thickBot="1">
      <c r="A10" s="87">
        <v>1936</v>
      </c>
      <c r="B10" s="79">
        <v>0.31943410275502609</v>
      </c>
      <c r="C10" s="79">
        <v>1.725E-3</v>
      </c>
      <c r="D10" s="79">
        <v>5.0178754045450601E-2</v>
      </c>
      <c r="E10" s="100">
        <v>1.4492799999999998E-2</v>
      </c>
      <c r="F10" s="104">
        <v>0.30058498468892636</v>
      </c>
      <c r="G10" s="104">
        <v>-1.2585402281810154E-2</v>
      </c>
      <c r="H10" s="104">
        <v>3.5176153093891438E-2</v>
      </c>
      <c r="I10" s="87">
        <v>1936</v>
      </c>
      <c r="J10" s="111">
        <f t="shared" si="0"/>
        <v>145.37567579101449</v>
      </c>
      <c r="K10" s="112">
        <f t="shared" si="1"/>
        <v>123.87575448073558</v>
      </c>
      <c r="O10" s="97" t="s">
        <v>110</v>
      </c>
      <c r="P10" s="98">
        <f>-1.19%</f>
        <v>-1.1899999999999999E-2</v>
      </c>
      <c r="Q10" s="98">
        <v>8.5000000000000006E-3</v>
      </c>
      <c r="R10" s="98">
        <v>8.0999999999999996E-3</v>
      </c>
    </row>
    <row r="11" spans="1:18" ht="31.15" thickBot="1">
      <c r="A11" s="88">
        <v>1937</v>
      </c>
      <c r="B11" s="79">
        <v>-0.35336728754365537</v>
      </c>
      <c r="C11" s="79">
        <v>2.7583333333333331E-3</v>
      </c>
      <c r="D11" s="79">
        <v>1.379146059646038E-2</v>
      </c>
      <c r="E11" s="102">
        <v>2.8571399999999997E-2</v>
      </c>
      <c r="F11" s="103">
        <v>-0.37132928987103397</v>
      </c>
      <c r="G11" s="103">
        <v>-2.5096037734149035E-2</v>
      </c>
      <c r="H11" s="103">
        <v>-1.4369385930368517E-2</v>
      </c>
      <c r="I11" s="88">
        <v>1937</v>
      </c>
      <c r="J11" s="111">
        <f t="shared" si="0"/>
        <v>94.004667561917856</v>
      </c>
      <c r="K11" s="112">
        <f t="shared" si="1"/>
        <v>164.72557722961295</v>
      </c>
      <c r="O11" s="97" t="s">
        <v>111</v>
      </c>
      <c r="P11" s="98">
        <v>0.25969999999999999</v>
      </c>
      <c r="Q11" s="98">
        <v>5.0599999999999999E-2</v>
      </c>
      <c r="R11" s="98">
        <v>8.5400000000000004E-2</v>
      </c>
    </row>
    <row r="12" spans="1:18" ht="16.149999999999999">
      <c r="A12" s="87">
        <v>1938</v>
      </c>
      <c r="B12" s="79">
        <v>0.29282654028436017</v>
      </c>
      <c r="C12" s="79">
        <v>6.4999999999999997E-4</v>
      </c>
      <c r="D12" s="79">
        <v>4.2132485322046068E-2</v>
      </c>
      <c r="E12" s="100">
        <v>-2.7777799999999998E-2</v>
      </c>
      <c r="F12" s="104">
        <v>0.32976447182995838</v>
      </c>
      <c r="G12" s="104">
        <v>2.9240023525486158E-2</v>
      </c>
      <c r="H12" s="104">
        <v>7.1907723689138336E-2</v>
      </c>
      <c r="I12" s="87">
        <v>1938</v>
      </c>
      <c r="J12" s="111">
        <f t="shared" si="0"/>
        <v>121.53172913465568</v>
      </c>
      <c r="K12" s="112">
        <f t="shared" si="1"/>
        <v>162.91760746187666</v>
      </c>
    </row>
    <row r="13" spans="1:18" ht="16.149999999999999">
      <c r="A13" s="88">
        <v>1939</v>
      </c>
      <c r="B13" s="79">
        <v>-1.0975646879756443E-2</v>
      </c>
      <c r="C13" s="79">
        <v>4.5833333333333332E-4</v>
      </c>
      <c r="D13" s="79">
        <v>4.4122613942060671E-2</v>
      </c>
      <c r="E13" s="102">
        <v>0</v>
      </c>
      <c r="F13" s="103">
        <v>-1.0975646879756495E-2</v>
      </c>
      <c r="G13" s="103">
        <v>4.5833333333322734E-4</v>
      </c>
      <c r="H13" s="103">
        <v>4.412261394206074E-2</v>
      </c>
      <c r="I13" s="88">
        <v>1939</v>
      </c>
      <c r="J13" s="111">
        <f t="shared" si="0"/>
        <v>120.19783979098749</v>
      </c>
      <c r="K13" s="112">
        <f t="shared" si="1"/>
        <v>144.49748670860015</v>
      </c>
    </row>
    <row r="14" spans="1:18" ht="16.149999999999999">
      <c r="A14" s="87">
        <v>1940</v>
      </c>
      <c r="B14" s="79">
        <v>-0.10672873194221515</v>
      </c>
      <c r="C14" s="79">
        <v>3.5833333333333333E-4</v>
      </c>
      <c r="D14" s="79">
        <v>5.4024815962845509E-2</v>
      </c>
      <c r="E14" s="100">
        <v>7.1428999999999998E-3</v>
      </c>
      <c r="F14" s="104">
        <v>-0.1130640269044394</v>
      </c>
      <c r="G14" s="104">
        <v>-6.7364488859196214E-3</v>
      </c>
      <c r="H14" s="104">
        <v>4.6549418124126607E-2</v>
      </c>
      <c r="I14" s="87">
        <v>1940</v>
      </c>
      <c r="J14" s="111">
        <f t="shared" si="0"/>
        <v>107.36927676790187</v>
      </c>
      <c r="K14" s="112">
        <f t="shared" si="1"/>
        <v>114.65851836872122</v>
      </c>
    </row>
    <row r="15" spans="1:18" ht="16.149999999999999">
      <c r="A15" s="88">
        <v>1941</v>
      </c>
      <c r="B15" s="79">
        <v>-0.12771455576559551</v>
      </c>
      <c r="C15" s="79">
        <v>1.2916666666666669E-3</v>
      </c>
      <c r="D15" s="79">
        <v>-2.0221975848580105E-2</v>
      </c>
      <c r="E15" s="102">
        <v>9.9290800000000012E-2</v>
      </c>
      <c r="F15" s="103">
        <v>-0.20650164248222169</v>
      </c>
      <c r="G15" s="103">
        <v>-8.9147597099269116E-2</v>
      </c>
      <c r="H15" s="103">
        <v>-0.10871807154993018</v>
      </c>
      <c r="I15" s="88">
        <v>1941</v>
      </c>
      <c r="J15" s="111">
        <f t="shared" si="0"/>
        <v>93.656657282615996</v>
      </c>
      <c r="K15" s="112">
        <f t="shared" si="1"/>
        <v>125.3233408883188</v>
      </c>
    </row>
    <row r="16" spans="1:18" ht="16.149999999999999">
      <c r="A16" s="87">
        <v>1942</v>
      </c>
      <c r="B16" s="79">
        <v>0.19173762945914843</v>
      </c>
      <c r="C16" s="79">
        <v>3.4250000000000001E-3</v>
      </c>
      <c r="D16" s="79">
        <v>2.2948682374484164E-2</v>
      </c>
      <c r="E16" s="100">
        <v>9.0322600000000003E-2</v>
      </c>
      <c r="F16" s="104">
        <v>9.3013782764063135E-2</v>
      </c>
      <c r="G16" s="104">
        <v>-7.9698980833745825E-2</v>
      </c>
      <c r="H16" s="104">
        <v>-6.1792645246017797E-2</v>
      </c>
      <c r="I16" s="87">
        <v>1942</v>
      </c>
      <c r="J16" s="111">
        <f t="shared" si="0"/>
        <v>111.61416273305268</v>
      </c>
      <c r="K16" s="112">
        <f t="shared" si="1"/>
        <v>152.22724712933382</v>
      </c>
    </row>
    <row r="17" spans="1:11" ht="16.149999999999999">
      <c r="A17" s="88">
        <v>1943</v>
      </c>
      <c r="B17" s="79">
        <v>0.25061310133060394</v>
      </c>
      <c r="C17" s="79">
        <v>3.8E-3</v>
      </c>
      <c r="D17" s="79">
        <v>2.4899999999999999E-2</v>
      </c>
      <c r="E17" s="102">
        <v>2.9585799999999999E-2</v>
      </c>
      <c r="F17" s="103">
        <v>0.21467594185021199</v>
      </c>
      <c r="G17" s="103">
        <v>-2.504482870684499E-2</v>
      </c>
      <c r="H17" s="103">
        <v>-4.5511505694815213E-3</v>
      </c>
      <c r="I17" s="88">
        <v>1943</v>
      </c>
      <c r="J17" s="111">
        <f t="shared" si="0"/>
        <v>139.58613420800171</v>
      </c>
      <c r="K17" s="112">
        <f t="shared" si="1"/>
        <v>177.12527829936266</v>
      </c>
    </row>
    <row r="18" spans="1:11" ht="16.149999999999999">
      <c r="A18" s="87">
        <v>1944</v>
      </c>
      <c r="B18" s="79">
        <v>0.19030676949443009</v>
      </c>
      <c r="C18" s="79">
        <v>3.8E-3</v>
      </c>
      <c r="D18" s="79">
        <v>2.5776111579070303E-2</v>
      </c>
      <c r="E18" s="100">
        <v>2.2988499999999999E-2</v>
      </c>
      <c r="F18" s="104">
        <v>0.16355830930106241</v>
      </c>
      <c r="G18" s="104">
        <v>-1.8757297858187139E-2</v>
      </c>
      <c r="H18" s="104">
        <v>2.7249686375458992E-3</v>
      </c>
      <c r="I18" s="87">
        <v>1944</v>
      </c>
      <c r="J18" s="111">
        <f t="shared" si="0"/>
        <v>166.15032047534245</v>
      </c>
      <c r="K18" s="112">
        <f t="shared" si="1"/>
        <v>235.28614685816029</v>
      </c>
    </row>
    <row r="19" spans="1:11" ht="16.149999999999999">
      <c r="A19" s="88">
        <v>1945</v>
      </c>
      <c r="B19" s="79">
        <v>0.35821084337349401</v>
      </c>
      <c r="C19" s="79">
        <v>3.8E-3</v>
      </c>
      <c r="D19" s="79">
        <v>3.8044173419237229E-2</v>
      </c>
      <c r="E19" s="102">
        <v>2.24719E-2</v>
      </c>
      <c r="F19" s="103">
        <v>0.32836006874467061</v>
      </c>
      <c r="G19" s="103">
        <v>-1.8261528752037015E-2</v>
      </c>
      <c r="H19" s="103">
        <v>1.5230025802408065E-2</v>
      </c>
      <c r="I19" s="88">
        <v>1945</v>
      </c>
      <c r="J19" s="111">
        <f t="shared" si="0"/>
        <v>225.66716689959119</v>
      </c>
      <c r="K19" s="112">
        <f t="shared" si="1"/>
        <v>182.38391602007101</v>
      </c>
    </row>
    <row r="20" spans="1:11" ht="16.149999999999999">
      <c r="A20" s="87">
        <v>1946</v>
      </c>
      <c r="B20" s="79">
        <v>-8.4291474654377807E-2</v>
      </c>
      <c r="C20" s="79">
        <v>3.8E-3</v>
      </c>
      <c r="D20" s="79">
        <v>3.1283745375695685E-2</v>
      </c>
      <c r="E20" s="100">
        <v>0.1813187</v>
      </c>
      <c r="F20" s="104">
        <v>-0.22484209777969133</v>
      </c>
      <c r="G20" s="104">
        <v>-0.15027164134454152</v>
      </c>
      <c r="H20" s="104">
        <v>-0.12700633167349695</v>
      </c>
      <c r="I20" s="87">
        <v>1946</v>
      </c>
      <c r="J20" s="111">
        <f t="shared" si="0"/>
        <v>206.64534862054904</v>
      </c>
      <c r="K20" s="112">
        <f t="shared" si="1"/>
        <v>176.28886265378793</v>
      </c>
    </row>
    <row r="21" spans="1:11" ht="16.149999999999999">
      <c r="A21" s="88">
        <v>1947</v>
      </c>
      <c r="B21" s="79">
        <v>5.1999999999999998E-2</v>
      </c>
      <c r="C21" s="79">
        <v>6.0083333333333334E-3</v>
      </c>
      <c r="D21" s="79">
        <v>9.1969680628322358E-3</v>
      </c>
      <c r="E21" s="102">
        <v>8.8372100000000009E-2</v>
      </c>
      <c r="F21" s="103">
        <v>-3.3418809614836564E-2</v>
      </c>
      <c r="G21" s="103">
        <v>-7.5676109913757061E-2</v>
      </c>
      <c r="H21" s="103">
        <v>-7.2746381441758379E-2</v>
      </c>
      <c r="I21" s="88">
        <v>1947</v>
      </c>
      <c r="J21" s="111">
        <f t="shared" si="0"/>
        <v>217.3909067488176</v>
      </c>
      <c r="K21" s="112">
        <f t="shared" si="1"/>
        <v>181.38652162969615</v>
      </c>
    </row>
    <row r="22" spans="1:11" ht="16.149999999999999">
      <c r="A22" s="87">
        <v>1948</v>
      </c>
      <c r="B22" s="79">
        <v>5.7045751633986834E-2</v>
      </c>
      <c r="C22" s="79">
        <v>1.0449999999999999E-2</v>
      </c>
      <c r="D22" s="79">
        <v>1.9510369413175046E-2</v>
      </c>
      <c r="E22" s="100">
        <v>2.7338700000000001E-2</v>
      </c>
      <c r="F22" s="104">
        <v>2.8916511793030564E-2</v>
      </c>
      <c r="G22" s="104">
        <v>-1.6439271683233558E-2</v>
      </c>
      <c r="H22" s="104">
        <v>-7.620009434887387E-3</v>
      </c>
      <c r="I22" s="87">
        <v>1948</v>
      </c>
      <c r="J22" s="111">
        <f t="shared" si="0"/>
        <v>229.79213442269784</v>
      </c>
      <c r="K22" s="112">
        <f t="shared" si="1"/>
        <v>218.58516166630574</v>
      </c>
    </row>
    <row r="23" spans="1:11" ht="16.149999999999999">
      <c r="A23" s="88">
        <v>1949</v>
      </c>
      <c r="B23" s="79">
        <v>0.18303223684210526</v>
      </c>
      <c r="C23" s="79">
        <v>1.115E-2</v>
      </c>
      <c r="D23" s="79">
        <v>4.6634851827973139E-2</v>
      </c>
      <c r="E23" s="102">
        <v>-1.8295200000000001E-2</v>
      </c>
      <c r="F23" s="103">
        <v>0.20507940558312976</v>
      </c>
      <c r="G23" s="103">
        <v>2.9993945226711727E-2</v>
      </c>
      <c r="H23" s="103">
        <v>6.614009815167754E-2</v>
      </c>
      <c r="I23" s="88">
        <v>1949</v>
      </c>
      <c r="J23" s="111">
        <f t="shared" si="0"/>
        <v>271.85150279480598</v>
      </c>
      <c r="K23" s="112">
        <f t="shared" si="1"/>
        <v>270.24044573974038</v>
      </c>
    </row>
    <row r="24" spans="1:11" ht="16.149999999999999">
      <c r="A24" s="87">
        <v>1950</v>
      </c>
      <c r="B24" s="79">
        <v>0.30805539011316263</v>
      </c>
      <c r="C24" s="79">
        <v>1.2033333333333333E-2</v>
      </c>
      <c r="D24" s="79">
        <v>4.2959574171096103E-3</v>
      </c>
      <c r="E24" s="100">
        <v>5.8026299999999996E-2</v>
      </c>
      <c r="F24" s="104">
        <v>0.2363165170026138</v>
      </c>
      <c r="G24" s="104">
        <v>-4.3470532506296622E-2</v>
      </c>
      <c r="H24" s="104">
        <v>-5.0783560468100397E-2</v>
      </c>
      <c r="I24" s="87">
        <v>1950</v>
      </c>
      <c r="J24" s="111">
        <f t="shared" si="0"/>
        <v>355.59682354110947</v>
      </c>
      <c r="K24" s="112">
        <f t="shared" si="1"/>
        <v>315.41542516029745</v>
      </c>
    </row>
    <row r="25" spans="1:11" ht="16.149999999999999">
      <c r="A25" s="88">
        <v>1951</v>
      </c>
      <c r="B25" s="79">
        <v>0.23678463044542339</v>
      </c>
      <c r="C25" s="79">
        <v>1.5175000000000001E-2</v>
      </c>
      <c r="D25" s="79">
        <v>-2.9531392208319886E-3</v>
      </c>
      <c r="E25" s="102">
        <v>5.9647699999999998E-2</v>
      </c>
      <c r="F25" s="103">
        <v>0.16716587073743794</v>
      </c>
      <c r="G25" s="103">
        <v>-4.196932622040328E-2</v>
      </c>
      <c r="H25" s="103">
        <v>-5.9077030243949835E-2</v>
      </c>
      <c r="I25" s="88">
        <v>1951</v>
      </c>
      <c r="J25" s="111">
        <f t="shared" si="0"/>
        <v>439.7966859908575</v>
      </c>
      <c r="K25" s="112">
        <f t="shared" si="1"/>
        <v>369.31787491350678</v>
      </c>
    </row>
    <row r="26" spans="1:11" ht="16.149999999999999">
      <c r="A26" s="87">
        <v>1952</v>
      </c>
      <c r="B26" s="79">
        <v>0.18150988641144306</v>
      </c>
      <c r="C26" s="79">
        <v>1.7225000000000001E-2</v>
      </c>
      <c r="D26" s="79">
        <v>2.2679961918305656E-2</v>
      </c>
      <c r="E26" s="100">
        <v>9.0668999999999993E-3</v>
      </c>
      <c r="F26" s="104">
        <v>0.17089351202724323</v>
      </c>
      <c r="G26" s="104">
        <v>8.0847959634786637E-3</v>
      </c>
      <c r="H26" s="104">
        <v>1.3490742703289094E-2</v>
      </c>
      <c r="I26" s="87">
        <v>1952</v>
      </c>
      <c r="J26" s="111">
        <f t="shared" si="0"/>
        <v>519.62413250918712</v>
      </c>
      <c r="K26" s="112">
        <f t="shared" si="1"/>
        <v>362.68317779509886</v>
      </c>
    </row>
    <row r="27" spans="1:11" ht="16.149999999999999">
      <c r="A27" s="88">
        <v>1953</v>
      </c>
      <c r="B27" s="79">
        <v>-1.2082047421904465E-2</v>
      </c>
      <c r="C27" s="79">
        <v>1.8908333333333333E-2</v>
      </c>
      <c r="D27" s="79">
        <v>4.1438402589088513E-2</v>
      </c>
      <c r="E27" s="102">
        <v>5.9902999999999996E-3</v>
      </c>
      <c r="F27" s="103">
        <v>-1.7964733280136369E-2</v>
      </c>
      <c r="G27" s="103">
        <v>1.2841111224763724E-2</v>
      </c>
      <c r="H27" s="103">
        <v>3.5237022254676509E-2</v>
      </c>
      <c r="I27" s="88">
        <v>1953</v>
      </c>
      <c r="J27" s="111">
        <f t="shared" si="0"/>
        <v>513.34600909864514</v>
      </c>
      <c r="K27" s="112">
        <f t="shared" si="1"/>
        <v>555.38843522872833</v>
      </c>
    </row>
    <row r="28" spans="1:11" ht="16.149999999999999">
      <c r="A28" s="87">
        <v>1954</v>
      </c>
      <c r="B28" s="79">
        <v>0.52563321241434902</v>
      </c>
      <c r="C28" s="79">
        <v>9.3752000000000002E-3</v>
      </c>
      <c r="D28" s="79">
        <v>3.2898034558095555E-2</v>
      </c>
      <c r="E28" s="100">
        <v>-3.7215999999999998E-3</v>
      </c>
      <c r="F28" s="104">
        <v>0.53133221839834022</v>
      </c>
      <c r="G28" s="104">
        <v>1.3145723123175301E-2</v>
      </c>
      <c r="H28" s="104">
        <v>3.6756427277852888E-2</v>
      </c>
      <c r="I28" s="87">
        <v>1954</v>
      </c>
      <c r="J28" s="111">
        <f t="shared" si="0"/>
        <v>783.17772094125166</v>
      </c>
      <c r="K28" s="112">
        <f t="shared" si="1"/>
        <v>733.68954921139152</v>
      </c>
    </row>
    <row r="29" spans="1:11" ht="16.149999999999999">
      <c r="A29" s="88">
        <v>1955</v>
      </c>
      <c r="B29" s="79">
        <v>0.32597331851028349</v>
      </c>
      <c r="C29" s="79">
        <v>1.7243426294820716E-2</v>
      </c>
      <c r="D29" s="79">
        <v>-1.3364391288618781E-2</v>
      </c>
      <c r="E29" s="102">
        <v>3.7355000000000001E-3</v>
      </c>
      <c r="F29" s="103">
        <v>0.32103857889880727</v>
      </c>
      <c r="G29" s="103">
        <v>1.3457655223732434E-2</v>
      </c>
      <c r="H29" s="103">
        <v>-1.7036252367898408E-2</v>
      </c>
      <c r="I29" s="88">
        <v>1955</v>
      </c>
      <c r="J29" s="111">
        <f t="shared" si="0"/>
        <v>1038.4727616197922</v>
      </c>
      <c r="K29" s="112">
        <f t="shared" si="1"/>
        <v>766.59000855941088</v>
      </c>
    </row>
    <row r="30" spans="1:11" ht="16.149999999999999">
      <c r="A30" s="87">
        <v>1956</v>
      </c>
      <c r="B30" s="79">
        <v>7.4395118733509347E-2</v>
      </c>
      <c r="C30" s="79">
        <v>2.6213888888888887E-2</v>
      </c>
      <c r="D30" s="79">
        <v>-2.2557738173154165E-2</v>
      </c>
      <c r="E30" s="100">
        <v>2.8284299999999998E-2</v>
      </c>
      <c r="F30" s="104">
        <v>4.4842480560589371E-2</v>
      </c>
      <c r="G30" s="104">
        <v>-2.0134617547996614E-3</v>
      </c>
      <c r="H30" s="104">
        <v>-4.9443561642586675E-2</v>
      </c>
      <c r="I30" s="87">
        <v>1956</v>
      </c>
      <c r="J30" s="111">
        <f t="shared" si="0"/>
        <v>1115.7300660220119</v>
      </c>
      <c r="K30" s="112">
        <f t="shared" si="1"/>
        <v>666.17216391903844</v>
      </c>
    </row>
    <row r="31" spans="1:11" ht="16.149999999999999">
      <c r="A31" s="88">
        <v>1957</v>
      </c>
      <c r="B31" s="79">
        <v>-0.1045736018855796</v>
      </c>
      <c r="C31" s="79">
        <v>3.2245669291338583E-2</v>
      </c>
      <c r="D31" s="79">
        <v>6.7970128466249904E-2</v>
      </c>
      <c r="E31" s="102">
        <v>3.0401699999999997E-2</v>
      </c>
      <c r="F31" s="103">
        <v>-0.13099289518406243</v>
      </c>
      <c r="G31" s="103">
        <v>1.7895635181295333E-3</v>
      </c>
      <c r="H31" s="103">
        <v>3.6459983001047025E-2</v>
      </c>
      <c r="I31" s="88">
        <v>1957</v>
      </c>
      <c r="J31" s="111">
        <f t="shared" si="0"/>
        <v>999.05415428605454</v>
      </c>
      <c r="K31" s="112">
        <f t="shared" si="1"/>
        <v>940.89800116612537</v>
      </c>
    </row>
    <row r="32" spans="1:11" ht="16.149999999999999">
      <c r="A32" s="87">
        <v>1958</v>
      </c>
      <c r="B32" s="79">
        <v>0.43719954988747184</v>
      </c>
      <c r="C32" s="79">
        <v>1.7665461847389558E-2</v>
      </c>
      <c r="D32" s="79">
        <v>-2.0990181755274694E-2</v>
      </c>
      <c r="E32" s="100">
        <v>1.7562299999999999E-2</v>
      </c>
      <c r="F32" s="104">
        <v>0.4123946513028951</v>
      </c>
      <c r="G32" s="104">
        <v>1.0138135757342681E-4</v>
      </c>
      <c r="H32" s="104">
        <v>-3.788709718832417E-2</v>
      </c>
      <c r="I32" s="87">
        <v>1958</v>
      </c>
      <c r="J32" s="111">
        <f t="shared" si="0"/>
        <v>1435.8401808531264</v>
      </c>
      <c r="K32" s="112">
        <f t="shared" si="1"/>
        <v>1038.56316443178</v>
      </c>
    </row>
    <row r="33" spans="1:11" ht="16.149999999999999">
      <c r="A33" s="88">
        <v>1959</v>
      </c>
      <c r="B33" s="79">
        <v>0.12056457163557326</v>
      </c>
      <c r="C33" s="79">
        <v>3.3860159362549803E-2</v>
      </c>
      <c r="D33" s="79">
        <v>-2.6466312591385065E-2</v>
      </c>
      <c r="E33" s="102">
        <v>1.51881E-2</v>
      </c>
      <c r="F33" s="103">
        <v>0.10379994765066014</v>
      </c>
      <c r="G33" s="103">
        <v>1.8392709058104417E-2</v>
      </c>
      <c r="H33" s="103">
        <v>-4.1031226224366835E-2</v>
      </c>
      <c r="I33" s="88">
        <v>1959</v>
      </c>
      <c r="J33" s="111">
        <f t="shared" si="0"/>
        <v>1608.9516371948275</v>
      </c>
      <c r="K33" s="112">
        <f t="shared" si="1"/>
        <v>1028.0756450133154</v>
      </c>
    </row>
    <row r="34" spans="1:11" ht="16.149999999999999">
      <c r="A34" s="87">
        <v>1960</v>
      </c>
      <c r="B34" s="79">
        <v>3.36535314743695E-3</v>
      </c>
      <c r="C34" s="79">
        <v>2.8729718875502006E-2</v>
      </c>
      <c r="D34" s="79">
        <v>0.11639503690963365</v>
      </c>
      <c r="E34" s="100">
        <v>1.36008E-2</v>
      </c>
      <c r="F34" s="104">
        <v>-1.0098104552169973E-2</v>
      </c>
      <c r="G34" s="104">
        <v>1.4925914497602832E-2</v>
      </c>
      <c r="H34" s="104">
        <v>0.10141491296142768</v>
      </c>
      <c r="I34" s="87">
        <v>1960</v>
      </c>
      <c r="J34" s="111">
        <f t="shared" si="0"/>
        <v>1614.366327651135</v>
      </c>
      <c r="K34" s="112">
        <f t="shared" si="1"/>
        <v>1293.254779359271</v>
      </c>
    </row>
    <row r="35" spans="1:11" ht="16.149999999999999">
      <c r="A35" s="88">
        <v>1961</v>
      </c>
      <c r="B35" s="79">
        <v>0.26637712958182752</v>
      </c>
      <c r="C35" s="79">
        <v>2.3524899598393576E-2</v>
      </c>
      <c r="D35" s="79">
        <v>2.0609208076323167E-2</v>
      </c>
      <c r="E35" s="102">
        <v>6.7091999999999994E-3</v>
      </c>
      <c r="F35" s="103">
        <v>0.25793737613784362</v>
      </c>
      <c r="G35" s="103">
        <v>1.6703631593307788E-2</v>
      </c>
      <c r="H35" s="103">
        <v>1.3807371658392631E-2</v>
      </c>
      <c r="I35" s="88">
        <v>1961</v>
      </c>
      <c r="J35" s="111">
        <f t="shared" si="0"/>
        <v>2044.3965961044005</v>
      </c>
      <c r="K35" s="112">
        <f t="shared" si="1"/>
        <v>1164.9373989115893</v>
      </c>
    </row>
    <row r="36" spans="1:11" ht="16.149999999999999">
      <c r="A36" s="87">
        <v>1962</v>
      </c>
      <c r="B36" s="79">
        <v>-8.8114605171208879E-2</v>
      </c>
      <c r="C36" s="79">
        <v>2.7723694779116466E-2</v>
      </c>
      <c r="D36" s="79">
        <v>5.693544054008462E-2</v>
      </c>
      <c r="E36" s="100">
        <v>1.23292E-2</v>
      </c>
      <c r="F36" s="104">
        <v>-9.9220495833972522E-2</v>
      </c>
      <c r="G36" s="104">
        <v>1.5207004578270178E-2</v>
      </c>
      <c r="H36" s="104">
        <v>4.4062979256238588E-2</v>
      </c>
      <c r="I36" s="87">
        <v>1962</v>
      </c>
      <c r="J36" s="111">
        <f t="shared" si="0"/>
        <v>1864.2553972252979</v>
      </c>
      <c r="K36" s="112">
        <f t="shared" si="1"/>
        <v>1405.2247247474297</v>
      </c>
    </row>
    <row r="37" spans="1:11" ht="16.149999999999999">
      <c r="A37" s="88">
        <v>1963</v>
      </c>
      <c r="B37" s="79">
        <v>0.22611927099841514</v>
      </c>
      <c r="C37" s="79">
        <v>3.1560240963855422E-2</v>
      </c>
      <c r="D37" s="79">
        <v>1.6841620739546127E-2</v>
      </c>
      <c r="E37" s="102">
        <v>1.6458199999999999E-2</v>
      </c>
      <c r="F37" s="103">
        <v>0.20626629899627469</v>
      </c>
      <c r="G37" s="103">
        <v>1.4857513042696002E-2</v>
      </c>
      <c r="H37" s="103">
        <v>3.7721250076594437E-4</v>
      </c>
      <c r="I37" s="88">
        <v>1963</v>
      </c>
      <c r="J37" s="111">
        <f t="shared" si="0"/>
        <v>2285.7994686007432</v>
      </c>
      <c r="K37" s="112">
        <f t="shared" si="1"/>
        <v>1616.5296725476685</v>
      </c>
    </row>
    <row r="38" spans="1:11" ht="16.149999999999999">
      <c r="A38" s="87">
        <v>1964</v>
      </c>
      <c r="B38" s="79">
        <v>0.16415455878432425</v>
      </c>
      <c r="C38" s="79">
        <v>3.5457370517928286E-2</v>
      </c>
      <c r="D38" s="79">
        <v>3.7280648911540815E-2</v>
      </c>
      <c r="E38" s="100">
        <v>1.19819E-2</v>
      </c>
      <c r="F38" s="104">
        <v>0.15037092934599339</v>
      </c>
      <c r="G38" s="104">
        <v>2.3197520151228002E-2</v>
      </c>
      <c r="H38" s="104">
        <v>2.4999210866855304E-2</v>
      </c>
      <c r="I38" s="87">
        <v>1964</v>
      </c>
      <c r="J38" s="111">
        <f t="shared" si="0"/>
        <v>2661.0238718383412</v>
      </c>
      <c r="K38" s="112">
        <f t="shared" si="1"/>
        <v>1782.7385266617646</v>
      </c>
    </row>
    <row r="39" spans="1:11" ht="16.149999999999999">
      <c r="A39" s="88">
        <v>1965</v>
      </c>
      <c r="B39" s="79">
        <v>0.12399242477876114</v>
      </c>
      <c r="C39" s="79">
        <v>3.9490763052208833E-2</v>
      </c>
      <c r="D39" s="79">
        <v>7.1885509359262342E-3</v>
      </c>
      <c r="E39" s="102">
        <v>1.9199999999999998E-2</v>
      </c>
      <c r="F39" s="103">
        <v>0.10281831316597434</v>
      </c>
      <c r="G39" s="103">
        <v>1.9908519478226694E-2</v>
      </c>
      <c r="H39" s="103">
        <v>-1.1785173728486975E-2</v>
      </c>
      <c r="I39" s="88">
        <v>1965</v>
      </c>
      <c r="J39" s="111">
        <f t="shared" si="0"/>
        <v>2990.9706741017444</v>
      </c>
      <c r="K39" s="112">
        <f t="shared" si="1"/>
        <v>1552.815642516882</v>
      </c>
    </row>
    <row r="40" spans="1:11" ht="16.149999999999999">
      <c r="A40" s="87">
        <v>1966</v>
      </c>
      <c r="B40" s="79">
        <v>-9.9709542356377898E-2</v>
      </c>
      <c r="C40" s="79">
        <v>4.8557199999999995E-2</v>
      </c>
      <c r="D40" s="79">
        <v>2.9079409324299622E-2</v>
      </c>
      <c r="E40" s="100">
        <v>3.3595E-2</v>
      </c>
      <c r="F40" s="104">
        <v>-0.12897173685667784</v>
      </c>
      <c r="G40" s="104">
        <v>1.4475882720020872E-2</v>
      </c>
      <c r="H40" s="104">
        <v>-4.3688201623464096E-3</v>
      </c>
      <c r="I40" s="87">
        <v>1966</v>
      </c>
      <c r="J40" s="111">
        <f t="shared" si="0"/>
        <v>2692.7423569857124</v>
      </c>
      <c r="K40" s="112">
        <f t="shared" si="1"/>
        <v>1861.3663561431545</v>
      </c>
    </row>
    <row r="41" spans="1:11" ht="16.149999999999999">
      <c r="A41" s="88">
        <v>1967</v>
      </c>
      <c r="B41" s="79">
        <v>0.23802966513133328</v>
      </c>
      <c r="C41" s="79">
        <v>4.2934538152610439E-2</v>
      </c>
      <c r="D41" s="79">
        <v>-1.5806209932824666E-2</v>
      </c>
      <c r="E41" s="102">
        <v>3.2806799999999997E-2</v>
      </c>
      <c r="F41" s="103">
        <v>0.1987040220216727</v>
      </c>
      <c r="G41" s="103">
        <v>9.806033570470829E-3</v>
      </c>
      <c r="H41" s="103">
        <v>-4.7068832169602892E-2</v>
      </c>
      <c r="I41" s="88">
        <v>1967</v>
      </c>
      <c r="J41" s="111">
        <f t="shared" si="0"/>
        <v>3333.6949185039784</v>
      </c>
      <c r="K41" s="112">
        <f t="shared" si="1"/>
        <v>1969.9663199460783</v>
      </c>
    </row>
    <row r="42" spans="1:11" ht="16.149999999999999">
      <c r="A42" s="87">
        <v>1968</v>
      </c>
      <c r="B42" s="79">
        <v>0.10814862651601535</v>
      </c>
      <c r="C42" s="79">
        <v>5.3376E-2</v>
      </c>
      <c r="D42" s="79">
        <v>3.2746196950768365E-2</v>
      </c>
      <c r="E42" s="100">
        <v>4.7058799999999998E-2</v>
      </c>
      <c r="F42" s="104">
        <v>5.8344217646626229E-2</v>
      </c>
      <c r="G42" s="104">
        <v>6.033281034455884E-3</v>
      </c>
      <c r="H42" s="104">
        <v>-1.3669340298015475E-2</v>
      </c>
      <c r="I42" s="87">
        <v>1968</v>
      </c>
      <c r="J42" s="111">
        <f t="shared" si="0"/>
        <v>3694.2294451636035</v>
      </c>
      <c r="K42" s="112">
        <f t="shared" si="1"/>
        <v>1706.9246487198486</v>
      </c>
    </row>
    <row r="43" spans="1:11" ht="16.149999999999999">
      <c r="A43" s="88">
        <v>1969</v>
      </c>
      <c r="B43" s="79">
        <v>-8.2413710764490639E-2</v>
      </c>
      <c r="C43" s="79">
        <v>6.668467741935484E-2</v>
      </c>
      <c r="D43" s="79">
        <v>-5.0140493209926106E-2</v>
      </c>
      <c r="E43" s="102">
        <v>5.8988800000000001E-2</v>
      </c>
      <c r="F43" s="103">
        <v>-0.13352597380113063</v>
      </c>
      <c r="G43" s="103">
        <v>7.2671943455442367E-3</v>
      </c>
      <c r="H43" s="103">
        <v>-0.10305046966495413</v>
      </c>
      <c r="I43" s="88">
        <v>1969</v>
      </c>
      <c r="J43" s="111">
        <f t="shared" si="0"/>
        <v>3389.7742881722256</v>
      </c>
      <c r="K43" s="112">
        <f t="shared" si="1"/>
        <v>1674.4395690192744</v>
      </c>
    </row>
    <row r="44" spans="1:11" ht="16.149999999999999">
      <c r="A44" s="87">
        <v>1970</v>
      </c>
      <c r="B44" s="79">
        <v>3.5611449054964189E-2</v>
      </c>
      <c r="C44" s="79">
        <v>6.3909999999999995E-2</v>
      </c>
      <c r="D44" s="79">
        <v>0.16754737183412338</v>
      </c>
      <c r="E44" s="100">
        <v>5.57029E-2</v>
      </c>
      <c r="F44" s="104">
        <v>-1.9031349582383283E-2</v>
      </c>
      <c r="G44" s="104">
        <v>7.7740621911712715E-3</v>
      </c>
      <c r="H44" s="104">
        <v>0.10594313213890327</v>
      </c>
      <c r="I44" s="87">
        <v>1970</v>
      </c>
      <c r="J44" s="111">
        <f t="shared" si="0"/>
        <v>3510.4890625432981</v>
      </c>
      <c r="K44" s="112">
        <f t="shared" si="1"/>
        <v>1852.0694371397046</v>
      </c>
    </row>
    <row r="45" spans="1:11" ht="16.149999999999999">
      <c r="A45" s="88">
        <v>1971</v>
      </c>
      <c r="B45" s="79">
        <v>0.14221150298426474</v>
      </c>
      <c r="C45" s="79">
        <v>4.3342570281124503E-2</v>
      </c>
      <c r="D45" s="79">
        <v>9.7868966197122972E-2</v>
      </c>
      <c r="E45" s="102">
        <v>3.2663299999999999E-2</v>
      </c>
      <c r="F45" s="103">
        <v>0.10608317636955311</v>
      </c>
      <c r="G45" s="103">
        <v>1.0341483309346255E-2</v>
      </c>
      <c r="H45" s="103">
        <v>6.3143200883698514E-2</v>
      </c>
      <c r="I45" s="88">
        <v>1971</v>
      </c>
      <c r="J45" s="111">
        <f t="shared" si="0"/>
        <v>4009.720988337403</v>
      </c>
      <c r="K45" s="112">
        <f t="shared" si="1"/>
        <v>2126.9798294886218</v>
      </c>
    </row>
    <row r="46" spans="1:11" ht="16.149999999999999">
      <c r="A46" s="87">
        <v>1972</v>
      </c>
      <c r="B46" s="79">
        <v>0.18755362915074925</v>
      </c>
      <c r="C46" s="79">
        <v>4.0618399999999999E-2</v>
      </c>
      <c r="D46" s="79">
        <v>2.818449050444969E-2</v>
      </c>
      <c r="E46" s="100">
        <v>3.4063299999999998E-2</v>
      </c>
      <c r="F46" s="104">
        <v>0.14843417143877868</v>
      </c>
      <c r="G46" s="104">
        <v>6.3391670509920228E-3</v>
      </c>
      <c r="H46" s="104">
        <v>-5.6851543764778745E-3</v>
      </c>
      <c r="I46" s="87">
        <v>1972</v>
      </c>
      <c r="J46" s="111">
        <f t="shared" si="0"/>
        <v>4761.7587115820115</v>
      </c>
      <c r="K46" s="112">
        <f t="shared" si="1"/>
        <v>1673.0593027345308</v>
      </c>
    </row>
    <row r="47" spans="1:11" ht="16.149999999999999">
      <c r="A47" s="88">
        <v>1973</v>
      </c>
      <c r="B47" s="79">
        <v>-0.14308047437526472</v>
      </c>
      <c r="C47" s="79">
        <v>7.0354435483870964E-2</v>
      </c>
      <c r="D47" s="79">
        <v>3.6586646024150085E-2</v>
      </c>
      <c r="E47" s="102">
        <v>8.9411799999999986E-2</v>
      </c>
      <c r="F47" s="103">
        <v>-0.21341082809573453</v>
      </c>
      <c r="G47" s="103">
        <v>-1.7493260598176907E-2</v>
      </c>
      <c r="H47" s="103">
        <v>-4.8489610609917855E-2</v>
      </c>
      <c r="I47" s="88">
        <v>1973</v>
      </c>
      <c r="J47" s="111">
        <f t="shared" si="0"/>
        <v>4080.4440162683081</v>
      </c>
      <c r="K47" s="112">
        <f t="shared" si="1"/>
        <v>1105.9429366804059</v>
      </c>
    </row>
    <row r="48" spans="1:11" ht="16.149999999999999">
      <c r="A48" s="87">
        <v>1974</v>
      </c>
      <c r="B48" s="79">
        <v>-0.25901785750896972</v>
      </c>
      <c r="C48" s="79">
        <v>7.8457831325301208E-2</v>
      </c>
      <c r="D48" s="79">
        <v>1.9886086932378574E-2</v>
      </c>
      <c r="E48" s="100">
        <v>0.1209503</v>
      </c>
      <c r="F48" s="104">
        <v>-0.33896967377498333</v>
      </c>
      <c r="G48" s="104">
        <v>-3.7907540302811626E-2</v>
      </c>
      <c r="H48" s="104">
        <v>-9.0159405878763366E-2</v>
      </c>
      <c r="I48" s="87">
        <v>1974</v>
      </c>
      <c r="J48" s="111">
        <f t="shared" si="0"/>
        <v>3023.5361494891954</v>
      </c>
      <c r="K48" s="112">
        <f t="shared" si="1"/>
        <v>1414.2638964089808</v>
      </c>
    </row>
    <row r="49" spans="1:11" ht="16.149999999999999">
      <c r="A49" s="88">
        <v>1975</v>
      </c>
      <c r="B49" s="79">
        <v>0.36995137106184356</v>
      </c>
      <c r="C49" s="79">
        <v>5.7863855421686747E-2</v>
      </c>
      <c r="D49" s="79">
        <v>3.6052536026033838E-2</v>
      </c>
      <c r="E49" s="102">
        <v>7.129089999999999E-2</v>
      </c>
      <c r="F49" s="103">
        <v>0.27878559508145151</v>
      </c>
      <c r="G49" s="103">
        <v>-1.2533518746694394E-2</v>
      </c>
      <c r="H49" s="103">
        <v>-3.2893366287313874E-2</v>
      </c>
      <c r="I49" s="88">
        <v>1975</v>
      </c>
      <c r="J49" s="111">
        <f t="shared" si="0"/>
        <v>4142.0974934477708</v>
      </c>
      <c r="K49" s="112">
        <f t="shared" si="1"/>
        <v>1667.3308309994754</v>
      </c>
    </row>
    <row r="50" spans="1:11" ht="16.149999999999999">
      <c r="A50" s="87">
        <v>1976</v>
      </c>
      <c r="B50" s="79">
        <v>0.23830999002106662</v>
      </c>
      <c r="C50" s="79">
        <v>4.9766000000000005E-2</v>
      </c>
      <c r="D50" s="79">
        <v>0.1598456074290921</v>
      </c>
      <c r="E50" s="100">
        <v>5.03597E-2</v>
      </c>
      <c r="F50" s="104">
        <v>0.1789389768296199</v>
      </c>
      <c r="G50" s="104">
        <v>-5.6523493808835479E-4</v>
      </c>
      <c r="H50" s="104">
        <v>0.10423658431401361</v>
      </c>
      <c r="I50" s="87">
        <v>1976</v>
      </c>
      <c r="J50" s="111">
        <f t="shared" si="0"/>
        <v>5129.2007057775936</v>
      </c>
      <c r="K50" s="112">
        <f t="shared" si="1"/>
        <v>1453.8657548288083</v>
      </c>
    </row>
    <row r="51" spans="1:11" ht="16.149999999999999">
      <c r="A51" s="88">
        <v>1977</v>
      </c>
      <c r="B51" s="79">
        <v>-6.9797040759352322E-2</v>
      </c>
      <c r="C51" s="79">
        <v>5.2609638554216867E-2</v>
      </c>
      <c r="D51" s="79">
        <v>1.2899606071070449E-2</v>
      </c>
      <c r="E51" s="102">
        <v>6.6780800000000001E-2</v>
      </c>
      <c r="F51" s="103">
        <v>-0.12802802671303459</v>
      </c>
      <c r="G51" s="103">
        <v>-1.3284042462878176E-2</v>
      </c>
      <c r="H51" s="103">
        <v>-5.0508214929374073E-2</v>
      </c>
      <c r="I51" s="88">
        <v>1977</v>
      </c>
      <c r="J51" s="111">
        <f t="shared" si="0"/>
        <v>4771.1976750535359</v>
      </c>
      <c r="K51" s="112">
        <f t="shared" si="1"/>
        <v>1420.7905517093577</v>
      </c>
    </row>
    <row r="52" spans="1:11" ht="16.149999999999999">
      <c r="A52" s="87">
        <v>1978</v>
      </c>
      <c r="B52" s="79">
        <v>6.50928391167193E-2</v>
      </c>
      <c r="C52" s="79">
        <v>7.1783064516129036E-2</v>
      </c>
      <c r="D52" s="79">
        <v>-7.7758069075086478E-3</v>
      </c>
      <c r="E52" s="100">
        <v>8.9887599999999998E-2</v>
      </c>
      <c r="F52" s="104">
        <v>-2.2749832994962582E-2</v>
      </c>
      <c r="G52" s="104">
        <v>-1.6611378534695631E-2</v>
      </c>
      <c r="H52" s="104">
        <v>-8.9608696261438969E-2</v>
      </c>
      <c r="I52" s="87">
        <v>1978</v>
      </c>
      <c r="J52" s="111">
        <f t="shared" si="0"/>
        <v>5081.7684777098611</v>
      </c>
      <c r="K52" s="112">
        <f t="shared" si="1"/>
        <v>1486.8366434957622</v>
      </c>
    </row>
    <row r="53" spans="1:11" ht="16.149999999999999">
      <c r="A53" s="88">
        <v>1979</v>
      </c>
      <c r="B53" s="79">
        <v>0.18519490167516386</v>
      </c>
      <c r="C53" s="79">
        <v>0.10054274193548388</v>
      </c>
      <c r="D53" s="79">
        <v>6.7072031247235459E-3</v>
      </c>
      <c r="E53" s="102">
        <v>0.1325479</v>
      </c>
      <c r="F53" s="103">
        <v>4.648545255804537E-2</v>
      </c>
      <c r="G53" s="103">
        <v>-2.8259429967170679E-2</v>
      </c>
      <c r="H53" s="103">
        <v>-0.11111291352469643</v>
      </c>
      <c r="I53" s="88">
        <v>1979</v>
      </c>
      <c r="J53" s="111">
        <f t="shared" si="0"/>
        <v>6022.8860912752862</v>
      </c>
      <c r="K53" s="112">
        <f t="shared" si="1"/>
        <v>1743.3228529735752</v>
      </c>
    </row>
    <row r="54" spans="1:11" ht="16.149999999999999">
      <c r="A54" s="87">
        <v>1980</v>
      </c>
      <c r="B54" s="79">
        <v>0.3173524550676301</v>
      </c>
      <c r="C54" s="79">
        <v>0.1139188</v>
      </c>
      <c r="D54" s="79">
        <v>-2.989744251999403E-2</v>
      </c>
      <c r="E54" s="100">
        <v>0.1235371</v>
      </c>
      <c r="F54" s="104">
        <v>0.17250463297351737</v>
      </c>
      <c r="G54" s="104">
        <v>-8.5607319954099648E-3</v>
      </c>
      <c r="H54" s="104">
        <v>-0.13656384156784329</v>
      </c>
      <c r="I54" s="87">
        <v>1980</v>
      </c>
      <c r="J54" s="111">
        <f t="shared" si="0"/>
        <v>7934.2637789341807</v>
      </c>
      <c r="K54" s="112">
        <f t="shared" si="1"/>
        <v>1525.4006895408295</v>
      </c>
    </row>
    <row r="55" spans="1:11" ht="16.149999999999999">
      <c r="A55" s="88">
        <v>1981</v>
      </c>
      <c r="B55" s="79">
        <v>-4.7023902474955762E-2</v>
      </c>
      <c r="C55" s="79">
        <v>0.14036184738955823</v>
      </c>
      <c r="D55" s="79">
        <v>8.1992153358923542E-2</v>
      </c>
      <c r="E55" s="102">
        <v>8.9120399999999989E-2</v>
      </c>
      <c r="F55" s="103">
        <v>-0.12500390450399779</v>
      </c>
      <c r="G55" s="103">
        <v>4.7048469011835792E-2</v>
      </c>
      <c r="H55" s="103">
        <v>-6.5449574180012071E-3</v>
      </c>
      <c r="I55" s="88">
        <v>1981</v>
      </c>
      <c r="J55" s="111">
        <f t="shared" si="0"/>
        <v>7561.1637327830058</v>
      </c>
      <c r="K55" s="112">
        <f t="shared" si="1"/>
        <v>1769.188883565796</v>
      </c>
    </row>
    <row r="56" spans="1:11" ht="16.149999999999999">
      <c r="A56" s="87">
        <v>1982</v>
      </c>
      <c r="B56" s="79">
        <v>0.20419055079559353</v>
      </c>
      <c r="C56" s="79">
        <v>0.10603413654618475</v>
      </c>
      <c r="D56" s="79">
        <v>0.32814549486295586</v>
      </c>
      <c r="E56" s="100">
        <v>3.8257199999999998E-2</v>
      </c>
      <c r="F56" s="104">
        <v>0.15981911880369659</v>
      </c>
      <c r="G56" s="104">
        <v>6.5279524713322212E-2</v>
      </c>
      <c r="H56" s="104">
        <v>0.27920663094169318</v>
      </c>
      <c r="I56" s="87">
        <v>1982</v>
      </c>
      <c r="J56" s="111">
        <f t="shared" si="0"/>
        <v>9105.0819200356327</v>
      </c>
      <c r="K56" s="112">
        <f t="shared" si="1"/>
        <v>2085.3992085015984</v>
      </c>
    </row>
    <row r="57" spans="1:11" ht="16.149999999999999">
      <c r="A57" s="88">
        <v>1983</v>
      </c>
      <c r="B57" s="79">
        <v>0.22337155858930619</v>
      </c>
      <c r="C57" s="79">
        <v>8.61764E-2</v>
      </c>
      <c r="D57" s="79">
        <v>3.2002094451429264E-2</v>
      </c>
      <c r="E57" s="102">
        <v>3.7871000000000002E-2</v>
      </c>
      <c r="F57" s="103">
        <v>0.17873180635098795</v>
      </c>
      <c r="G57" s="103">
        <v>4.6542778437782761E-2</v>
      </c>
      <c r="H57" s="103">
        <v>-5.654754346706703E-3</v>
      </c>
      <c r="I57" s="88">
        <v>1983</v>
      </c>
      <c r="J57" s="111">
        <f t="shared" si="0"/>
        <v>11138.898259597305</v>
      </c>
      <c r="K57" s="112">
        <f t="shared" si="1"/>
        <v>2127.5458297883183</v>
      </c>
    </row>
    <row r="58" spans="1:11" ht="16.149999999999999">
      <c r="A58" s="87">
        <v>1984</v>
      </c>
      <c r="B58" s="79">
        <v>6.14614199963621E-2</v>
      </c>
      <c r="C58" s="79">
        <v>9.5402811244979929E-2</v>
      </c>
      <c r="D58" s="79">
        <v>0.13733364344102345</v>
      </c>
      <c r="E58" s="100">
        <v>4.0433899999999995E-2</v>
      </c>
      <c r="F58" s="104">
        <v>2.0210337241377996E-2</v>
      </c>
      <c r="G58" s="104">
        <v>5.2832679947260264E-2</v>
      </c>
      <c r="H58" s="104">
        <v>9.3133973663318326E-2</v>
      </c>
      <c r="I58" s="87">
        <v>1984</v>
      </c>
      <c r="J58" s="111">
        <f t="shared" si="0"/>
        <v>11823.510763827162</v>
      </c>
      <c r="K58" s="112">
        <f t="shared" si="1"/>
        <v>2690.0938488499519</v>
      </c>
    </row>
    <row r="59" spans="1:11" ht="16.149999999999999">
      <c r="A59" s="88">
        <v>1985</v>
      </c>
      <c r="B59" s="79">
        <v>0.31235149485768948</v>
      </c>
      <c r="C59" s="79">
        <v>7.4711290322580642E-2</v>
      </c>
      <c r="D59" s="79">
        <v>0.2571248821260641</v>
      </c>
      <c r="E59" s="102">
        <v>3.7914699999999996E-2</v>
      </c>
      <c r="F59" s="103">
        <v>0.26441170440855077</v>
      </c>
      <c r="G59" s="103">
        <v>3.5452422364362635E-2</v>
      </c>
      <c r="H59" s="103">
        <v>0.21120250260070894</v>
      </c>
      <c r="I59" s="88">
        <v>1985</v>
      </c>
      <c r="J59" s="111">
        <f t="shared" si="0"/>
        <v>15516.602025374559</v>
      </c>
      <c r="K59" s="112">
        <f t="shared" si="1"/>
        <v>3150.2156985955662</v>
      </c>
    </row>
    <row r="60" spans="1:11" ht="16.149999999999999">
      <c r="A60" s="87">
        <v>1986</v>
      </c>
      <c r="B60" s="79">
        <v>0.18494578758046187</v>
      </c>
      <c r="C60" s="79">
        <v>5.9692800000000004E-2</v>
      </c>
      <c r="D60" s="79">
        <v>0.24284215141767618</v>
      </c>
      <c r="E60" s="100">
        <v>1.1872100000000002E-2</v>
      </c>
      <c r="F60" s="104">
        <v>0.17104304741721998</v>
      </c>
      <c r="G60" s="104">
        <v>4.7259628959035682E-2</v>
      </c>
      <c r="H60" s="104">
        <v>0.22826012439484811</v>
      </c>
      <c r="I60" s="87">
        <v>1986</v>
      </c>
      <c r="J60" s="111">
        <f t="shared" si="0"/>
        <v>18386.332207530046</v>
      </c>
      <c r="K60" s="112">
        <f t="shared" si="1"/>
        <v>3194.9208439163476</v>
      </c>
    </row>
    <row r="61" spans="1:11" ht="16.149999999999999">
      <c r="A61" s="88">
        <v>1987</v>
      </c>
      <c r="B61" s="79">
        <v>5.8127216418218712E-2</v>
      </c>
      <c r="C61" s="79">
        <v>5.7773600000000001E-2</v>
      </c>
      <c r="D61" s="79">
        <v>-4.9605089379262279E-2</v>
      </c>
      <c r="E61" s="102">
        <v>4.33213E-2</v>
      </c>
      <c r="F61" s="103">
        <v>1.419113787691173E-2</v>
      </c>
      <c r="G61" s="103">
        <v>1.3852204493476794E-2</v>
      </c>
      <c r="H61" s="103">
        <v>-8.906785414930396E-2</v>
      </c>
      <c r="I61" s="88">
        <v>1987</v>
      </c>
      <c r="J61" s="111">
        <f t="shared" si="0"/>
        <v>19455.07851889441</v>
      </c>
      <c r="K61" s="112">
        <f t="shared" si="1"/>
        <v>3565.9499122196571</v>
      </c>
    </row>
    <row r="62" spans="1:11" ht="16.149999999999999">
      <c r="A62" s="87">
        <v>1988</v>
      </c>
      <c r="B62" s="79">
        <v>0.16537192812044688</v>
      </c>
      <c r="C62" s="79">
        <v>6.6684400000000005E-2</v>
      </c>
      <c r="D62" s="79">
        <v>8.2235958434841674E-2</v>
      </c>
      <c r="E62" s="100">
        <v>4.41176E-2</v>
      </c>
      <c r="F62" s="104">
        <v>0.11613091103956763</v>
      </c>
      <c r="G62" s="104">
        <v>2.1613274213555966E-2</v>
      </c>
      <c r="H62" s="104">
        <v>3.6507725216816223E-2</v>
      </c>
      <c r="I62" s="87">
        <v>1988</v>
      </c>
      <c r="J62" s="111">
        <f t="shared" si="0"/>
        <v>22672.402365298665</v>
      </c>
      <c r="K62" s="112">
        <f t="shared" si="1"/>
        <v>4480.4636060696994</v>
      </c>
    </row>
    <row r="63" spans="1:11" ht="16.149999999999999">
      <c r="A63" s="88">
        <v>1989</v>
      </c>
      <c r="B63" s="79">
        <v>0.31475183638196724</v>
      </c>
      <c r="C63" s="79">
        <v>8.111560000000001E-2</v>
      </c>
      <c r="D63" s="79">
        <v>0.17693647159446219</v>
      </c>
      <c r="E63" s="102">
        <v>4.6396E-2</v>
      </c>
      <c r="F63" s="103">
        <v>0.25645724599670405</v>
      </c>
      <c r="G63" s="103">
        <v>3.3180172707082178E-2</v>
      </c>
      <c r="H63" s="103">
        <v>0.12475245661724821</v>
      </c>
      <c r="I63" s="88">
        <v>1989</v>
      </c>
      <c r="J63" s="111">
        <f t="shared" si="0"/>
        <v>29808.582644967279</v>
      </c>
      <c r="K63" s="112">
        <f t="shared" si="1"/>
        <v>4087.4914221200565</v>
      </c>
    </row>
    <row r="64" spans="1:11" ht="16.149999999999999">
      <c r="A64" s="87">
        <v>1990</v>
      </c>
      <c r="B64" s="79">
        <v>-3.0644516129032118E-2</v>
      </c>
      <c r="C64" s="79">
        <v>7.4964799999999998E-2</v>
      </c>
      <c r="D64" s="79">
        <v>6.2353753335533363E-2</v>
      </c>
      <c r="E64" s="100">
        <v>6.2549499999999994E-2</v>
      </c>
      <c r="F64" s="104">
        <v>-8.7707929022631026E-2</v>
      </c>
      <c r="G64" s="104">
        <v>1.1684443877673534E-2</v>
      </c>
      <c r="H64" s="104">
        <v>-1.8422357214098461E-4</v>
      </c>
      <c r="I64" s="87">
        <v>1990</v>
      </c>
      <c r="J64" s="111">
        <f t="shared" si="0"/>
        <v>28895.113053319994</v>
      </c>
      <c r="K64" s="112">
        <f t="shared" si="1"/>
        <v>5169.2614832029303</v>
      </c>
    </row>
    <row r="65" spans="1:11" ht="16.149999999999999">
      <c r="A65" s="88">
        <v>1991</v>
      </c>
      <c r="B65" s="79">
        <v>0.30234843134879757</v>
      </c>
      <c r="C65" s="79">
        <v>5.3756000000000005E-2</v>
      </c>
      <c r="D65" s="79">
        <v>0.15004510019517303</v>
      </c>
      <c r="E65" s="102">
        <v>2.9806300000000001E-2</v>
      </c>
      <c r="F65" s="103">
        <v>0.26465378134586826</v>
      </c>
      <c r="G65" s="103">
        <v>2.3256509500864331E-2</v>
      </c>
      <c r="H65" s="103">
        <v>0.11675865664753959</v>
      </c>
      <c r="I65" s="88">
        <v>1991</v>
      </c>
      <c r="J65" s="111">
        <f t="shared" si="0"/>
        <v>37631.505158637461</v>
      </c>
      <c r="K65" s="112">
        <f t="shared" si="1"/>
        <v>5396.5324102665581</v>
      </c>
    </row>
    <row r="66" spans="1:11" ht="16.149999999999999">
      <c r="A66" s="87">
        <v>1992</v>
      </c>
      <c r="B66" s="79">
        <v>7.493727972380064E-2</v>
      </c>
      <c r="C66" s="79">
        <v>3.4313147410358569E-2</v>
      </c>
      <c r="D66" s="79">
        <v>9.3616373162079422E-2</v>
      </c>
      <c r="E66" s="100">
        <v>2.9667099999999998E-2</v>
      </c>
      <c r="F66" s="104">
        <v>4.3965840730271655E-2</v>
      </c>
      <c r="G66" s="104">
        <v>4.5121839965156507E-3</v>
      </c>
      <c r="H66" s="104">
        <v>6.2106746114428013E-2</v>
      </c>
      <c r="I66" s="87">
        <v>1992</v>
      </c>
      <c r="J66" s="111">
        <f t="shared" si="0"/>
        <v>40451.507787137925</v>
      </c>
      <c r="K66" s="112">
        <f t="shared" si="1"/>
        <v>5772.1546162872728</v>
      </c>
    </row>
    <row r="67" spans="1:11" ht="16.149999999999999">
      <c r="A67" s="88">
        <v>1993</v>
      </c>
      <c r="B67" s="79">
        <v>9.96705147919488E-2</v>
      </c>
      <c r="C67" s="79">
        <v>2.9971199999999996E-2</v>
      </c>
      <c r="D67" s="79">
        <v>0.14210957589263107</v>
      </c>
      <c r="E67" s="102">
        <v>2.8109600000000002E-2</v>
      </c>
      <c r="F67" s="103">
        <v>6.9604363962702642E-2</v>
      </c>
      <c r="G67" s="103">
        <v>1.8107018940394237E-3</v>
      </c>
      <c r="H67" s="103">
        <v>0.11088309640589955</v>
      </c>
      <c r="I67" s="88">
        <v>1993</v>
      </c>
      <c r="J67" s="111">
        <f t="shared" si="0"/>
        <v>44483.33039239249</v>
      </c>
      <c r="K67" s="112">
        <f t="shared" si="1"/>
        <v>5700.6208811133974</v>
      </c>
    </row>
    <row r="68" spans="1:11" ht="16.149999999999999">
      <c r="A68" s="87">
        <v>1994</v>
      </c>
      <c r="B68" s="79">
        <v>1.3259206774573897E-2</v>
      </c>
      <c r="C68" s="79">
        <v>4.2522489959839357E-2</v>
      </c>
      <c r="D68" s="79">
        <v>-8.0366555509985921E-2</v>
      </c>
      <c r="E68" s="100">
        <v>2.5974000000000001E-2</v>
      </c>
      <c r="F68" s="104">
        <v>-1.2392900039792543E-2</v>
      </c>
      <c r="G68" s="104">
        <v>1.6129541255274882E-2</v>
      </c>
      <c r="H68" s="104">
        <v>-0.10364839217171773</v>
      </c>
      <c r="I68" s="87">
        <v>1994</v>
      </c>
      <c r="J68" s="111">
        <f t="shared" ref="J68:J99" si="2">J67*(1+B68)</f>
        <v>45073.144068086905</v>
      </c>
      <c r="K68" s="112">
        <f t="shared" ref="K68:K99" si="3">K67*(1+F69)</f>
        <v>7627.867255161731</v>
      </c>
    </row>
    <row r="69" spans="1:11" ht="16.149999999999999">
      <c r="A69" s="88">
        <v>1995</v>
      </c>
      <c r="B69" s="79">
        <v>0.37195198902606308</v>
      </c>
      <c r="C69" s="79">
        <v>5.4896E-2</v>
      </c>
      <c r="D69" s="79">
        <v>0.23480780112538907</v>
      </c>
      <c r="E69" s="102">
        <v>2.5316499999999999E-2</v>
      </c>
      <c r="F69" s="103">
        <v>0.33807657345420949</v>
      </c>
      <c r="G69" s="103">
        <v>2.8849140728741007E-2</v>
      </c>
      <c r="H69" s="103">
        <v>0.20431866757765937</v>
      </c>
      <c r="I69" s="88">
        <v>1995</v>
      </c>
      <c r="J69" s="111">
        <f t="shared" si="2"/>
        <v>61838.189655870119</v>
      </c>
      <c r="K69" s="112">
        <f t="shared" si="3"/>
        <v>9052.0874926499964</v>
      </c>
    </row>
    <row r="70" spans="1:11" ht="16.149999999999999">
      <c r="A70" s="87">
        <v>1996</v>
      </c>
      <c r="B70" s="79">
        <v>0.22680966018865789</v>
      </c>
      <c r="C70" s="79">
        <v>5.005396825396826E-2</v>
      </c>
      <c r="D70" s="79">
        <v>1.428607793401844E-2</v>
      </c>
      <c r="E70" s="100">
        <v>3.3788200000000004E-2</v>
      </c>
      <c r="F70" s="104">
        <v>0.18671277171538403</v>
      </c>
      <c r="G70" s="104">
        <v>1.5734139985316364E-2</v>
      </c>
      <c r="H70" s="104">
        <v>-1.8864717227360162E-2</v>
      </c>
      <c r="I70" s="87">
        <v>1996</v>
      </c>
      <c r="J70" s="111">
        <f t="shared" si="2"/>
        <v>75863.688438399797</v>
      </c>
      <c r="K70" s="112">
        <f t="shared" si="3"/>
        <v>11847.599448416664</v>
      </c>
    </row>
    <row r="71" spans="1:11" ht="16.149999999999999">
      <c r="A71" s="88">
        <v>1997</v>
      </c>
      <c r="B71" s="79">
        <v>0.33103653103653097</v>
      </c>
      <c r="C71" s="79">
        <v>5.0620800000000001E-2</v>
      </c>
      <c r="D71" s="79">
        <v>9.939130272977531E-2</v>
      </c>
      <c r="E71" s="102">
        <v>1.6970499999999999E-2</v>
      </c>
      <c r="F71" s="103">
        <v>0.30882511443206151</v>
      </c>
      <c r="G71" s="103">
        <v>3.3088767078297554E-2</v>
      </c>
      <c r="H71" s="103">
        <v>8.104542140580806E-2</v>
      </c>
      <c r="I71" s="88">
        <v>1997</v>
      </c>
      <c r="J71" s="111">
        <f t="shared" si="2"/>
        <v>100977.34069068384</v>
      </c>
      <c r="K71" s="112">
        <f t="shared" si="3"/>
        <v>14964.499115538703</v>
      </c>
    </row>
    <row r="72" spans="1:11" ht="16.149999999999999">
      <c r="A72" s="87">
        <v>1998</v>
      </c>
      <c r="B72" s="79">
        <v>0.28337953278443584</v>
      </c>
      <c r="C72" s="79">
        <v>4.7759600000000006E-2</v>
      </c>
      <c r="D72" s="79">
        <v>0.14921431922606215</v>
      </c>
      <c r="E72" s="100">
        <v>1.6069199999999999E-2</v>
      </c>
      <c r="F72" s="104">
        <v>0.2630828026126919</v>
      </c>
      <c r="G72" s="104">
        <v>3.1189214277925092E-2</v>
      </c>
      <c r="H72" s="104">
        <v>0.13103942056905393</v>
      </c>
      <c r="I72" s="87">
        <v>1998</v>
      </c>
      <c r="J72" s="111">
        <f t="shared" si="2"/>
        <v>129592.25231742462</v>
      </c>
      <c r="K72" s="112">
        <f t="shared" si="3"/>
        <v>17618.34976686594</v>
      </c>
    </row>
    <row r="73" spans="1:11" ht="16.149999999999999">
      <c r="A73" s="88">
        <v>1999</v>
      </c>
      <c r="B73" s="79">
        <v>0.20885350992084475</v>
      </c>
      <c r="C73" s="79">
        <v>4.6384063745019917E-2</v>
      </c>
      <c r="D73" s="79">
        <v>-8.2542147962685761E-2</v>
      </c>
      <c r="E73" s="102">
        <v>2.6764E-2</v>
      </c>
      <c r="F73" s="103">
        <v>0.17734309921349478</v>
      </c>
      <c r="G73" s="103">
        <v>1.9108640101347385E-2</v>
      </c>
      <c r="H73" s="103">
        <v>-0.10645693456596239</v>
      </c>
      <c r="I73" s="88">
        <v>1999</v>
      </c>
      <c r="J73" s="111">
        <f t="shared" si="2"/>
        <v>156658.0490724665</v>
      </c>
      <c r="K73" s="112">
        <f t="shared" si="3"/>
        <v>15494.691610350072</v>
      </c>
    </row>
    <row r="74" spans="1:11" ht="16.149999999999999">
      <c r="A74" s="87">
        <v>2000</v>
      </c>
      <c r="B74" s="79">
        <v>-9.0318189552492781E-2</v>
      </c>
      <c r="C74" s="79">
        <v>5.8198007968127491E-2</v>
      </c>
      <c r="D74" s="79">
        <v>0.16655267125397488</v>
      </c>
      <c r="E74" s="100">
        <v>3.43602E-2</v>
      </c>
      <c r="F74" s="104">
        <v>-0.12053672362151302</v>
      </c>
      <c r="G74" s="104">
        <v>2.3045944699078058E-2</v>
      </c>
      <c r="H74" s="104">
        <v>0.1278011965792718</v>
      </c>
      <c r="I74" s="87">
        <v>2000</v>
      </c>
      <c r="J74" s="111">
        <f t="shared" si="2"/>
        <v>142508.97770141574</v>
      </c>
      <c r="K74" s="112">
        <f t="shared" si="3"/>
        <v>13443.026196522114</v>
      </c>
    </row>
    <row r="75" spans="1:11" ht="16.149999999999999">
      <c r="A75" s="88">
        <v>2001</v>
      </c>
      <c r="B75" s="79">
        <v>-0.11849759142000185</v>
      </c>
      <c r="C75" s="79">
        <v>3.3993548387096777E-2</v>
      </c>
      <c r="D75" s="79">
        <v>5.5721811892492555E-2</v>
      </c>
      <c r="E75" s="102">
        <v>1.6036700000000001E-2</v>
      </c>
      <c r="F75" s="103">
        <v>-0.13241085821014309</v>
      </c>
      <c r="G75" s="103">
        <v>1.7673424972834972E-2</v>
      </c>
      <c r="H75" s="103">
        <v>3.9058738618883204E-2</v>
      </c>
      <c r="I75" s="88">
        <v>2001</v>
      </c>
      <c r="J75" s="111">
        <f t="shared" si="2"/>
        <v>125622.00708807123</v>
      </c>
      <c r="K75" s="112">
        <f t="shared" si="3"/>
        <v>10236.238268302084</v>
      </c>
    </row>
    <row r="76" spans="1:11" ht="16.149999999999999">
      <c r="A76" s="87">
        <v>2002</v>
      </c>
      <c r="B76" s="79">
        <v>-0.21966047957912699</v>
      </c>
      <c r="C76" s="79">
        <v>1.60532E-2</v>
      </c>
      <c r="D76" s="79">
        <v>0.15116400378109285</v>
      </c>
      <c r="E76" s="100">
        <v>2.48027E-2</v>
      </c>
      <c r="F76" s="104">
        <v>-0.23854658031163167</v>
      </c>
      <c r="G76" s="104">
        <v>-8.5377409719938901E-3</v>
      </c>
      <c r="H76" s="104">
        <v>0.12330305509645223</v>
      </c>
      <c r="I76" s="87">
        <v>2002</v>
      </c>
      <c r="J76" s="111">
        <f t="shared" si="2"/>
        <v>98027.816765413008</v>
      </c>
      <c r="K76" s="112">
        <f t="shared" si="3"/>
        <v>12876.738149486113</v>
      </c>
    </row>
    <row r="77" spans="1:11" ht="16.149999999999999">
      <c r="A77" s="88">
        <v>2003</v>
      </c>
      <c r="B77" s="79">
        <v>0.28355800050010233</v>
      </c>
      <c r="C77" s="79">
        <v>1.00836E-2</v>
      </c>
      <c r="D77" s="79">
        <v>3.7531858817758529E-3</v>
      </c>
      <c r="E77" s="102">
        <v>2.0352000000000002E-2</v>
      </c>
      <c r="F77" s="103">
        <v>0.25795607839265511</v>
      </c>
      <c r="G77" s="103">
        <v>-1.0063585899767857E-2</v>
      </c>
      <c r="H77" s="103">
        <v>-1.6267733211895563E-2</v>
      </c>
      <c r="I77" s="88">
        <v>2003</v>
      </c>
      <c r="J77" s="111">
        <f t="shared" si="2"/>
        <v>125824.38848080393</v>
      </c>
      <c r="K77" s="112">
        <f t="shared" si="3"/>
        <v>13798.855374829365</v>
      </c>
    </row>
    <row r="78" spans="1:11" ht="16.149999999999999">
      <c r="A78" s="87">
        <v>2004</v>
      </c>
      <c r="B78" s="79">
        <v>0.10742775944096193</v>
      </c>
      <c r="C78" s="79">
        <v>1.3746400000000001E-2</v>
      </c>
      <c r="D78" s="79">
        <v>4.490683702274547E-2</v>
      </c>
      <c r="E78" s="100">
        <v>3.34232E-2</v>
      </c>
      <c r="F78" s="104">
        <v>7.1611087733429724E-2</v>
      </c>
      <c r="G78" s="104">
        <v>-1.9040408614786286E-2</v>
      </c>
      <c r="H78" s="104">
        <v>1.1112230713172799E-2</v>
      </c>
      <c r="I78" s="87">
        <v>2004</v>
      </c>
      <c r="J78" s="111">
        <f t="shared" si="2"/>
        <v>139341.42061832585</v>
      </c>
      <c r="K78" s="112">
        <f t="shared" si="3"/>
        <v>13998.607428102932</v>
      </c>
    </row>
    <row r="79" spans="1:11" ht="16.149999999999999">
      <c r="A79" s="88">
        <v>2005</v>
      </c>
      <c r="B79" s="79">
        <v>4.8344775232688535E-2</v>
      </c>
      <c r="C79" s="79">
        <v>3.1491600000000002E-2</v>
      </c>
      <c r="D79" s="79">
        <v>2.8675329597779506E-2</v>
      </c>
      <c r="E79" s="102">
        <v>3.3385499999999999E-2</v>
      </c>
      <c r="F79" s="103">
        <v>1.4475987163249604E-2</v>
      </c>
      <c r="G79" s="103">
        <v>-1.8327139291194339E-3</v>
      </c>
      <c r="H79" s="103">
        <v>-4.5579993160543841E-3</v>
      </c>
      <c r="I79" s="88">
        <v>2005</v>
      </c>
      <c r="J79" s="111">
        <f t="shared" si="2"/>
        <v>146077.8502787223</v>
      </c>
      <c r="K79" s="112">
        <f t="shared" si="3"/>
        <v>15785.719720510555</v>
      </c>
    </row>
    <row r="80" spans="1:11" ht="16.149999999999999">
      <c r="A80" s="87">
        <v>2006</v>
      </c>
      <c r="B80" s="79">
        <v>0.15612557979315703</v>
      </c>
      <c r="C80" s="79">
        <v>4.7300000000000002E-2</v>
      </c>
      <c r="D80" s="79">
        <v>1.9610012417568386E-2</v>
      </c>
      <c r="E80" s="100">
        <v>2.52398E-2</v>
      </c>
      <c r="F80" s="104">
        <v>0.12766357665119621</v>
      </c>
      <c r="G80" s="104">
        <v>2.1517112386780113E-2</v>
      </c>
      <c r="H80" s="104">
        <v>-5.4911910193415903E-3</v>
      </c>
      <c r="I80" s="87">
        <v>2006</v>
      </c>
      <c r="J80" s="111">
        <f t="shared" si="2"/>
        <v>168884.33934842583</v>
      </c>
      <c r="K80" s="112">
        <f t="shared" si="3"/>
        <v>15994.347312127329</v>
      </c>
    </row>
    <row r="81" spans="1:11" ht="16.149999999999999">
      <c r="A81" s="88">
        <v>2007</v>
      </c>
      <c r="B81" s="79">
        <v>5.4847352464217694E-2</v>
      </c>
      <c r="C81" s="79">
        <v>4.3619521912350592E-2</v>
      </c>
      <c r="D81" s="79">
        <v>0.10209921930012807</v>
      </c>
      <c r="E81" s="102">
        <v>4.1088100000000002E-2</v>
      </c>
      <c r="F81" s="103">
        <v>1.3216222973077452E-2</v>
      </c>
      <c r="G81" s="103">
        <v>2.431515557953734E-3</v>
      </c>
      <c r="H81" s="103">
        <v>5.8603224165301615E-2</v>
      </c>
      <c r="I81" s="88">
        <v>2007</v>
      </c>
      <c r="J81" s="111">
        <f t="shared" si="2"/>
        <v>178147.19823435548</v>
      </c>
      <c r="K81" s="112">
        <f t="shared" si="3"/>
        <v>10150.294854708603</v>
      </c>
    </row>
    <row r="82" spans="1:11" ht="16.149999999999999">
      <c r="A82" s="87">
        <v>2008</v>
      </c>
      <c r="B82" s="79">
        <v>-0.36552344111798191</v>
      </c>
      <c r="C82" s="79">
        <v>1.3713147410358567E-2</v>
      </c>
      <c r="D82" s="79">
        <v>0.20101279926977011</v>
      </c>
      <c r="E82" s="100">
        <v>-2.2230000000000001E-4</v>
      </c>
      <c r="F82" s="104">
        <v>-0.36538236561785886</v>
      </c>
      <c r="G82" s="104">
        <v>1.3938545949123249E-2</v>
      </c>
      <c r="H82" s="104">
        <v>0.20127984377904218</v>
      </c>
      <c r="I82" s="87">
        <v>2008</v>
      </c>
      <c r="J82" s="111">
        <f t="shared" si="2"/>
        <v>113030.22131020659</v>
      </c>
      <c r="K82" s="112">
        <f t="shared" si="3"/>
        <v>12432.920268684666</v>
      </c>
    </row>
    <row r="83" spans="1:11" ht="16.149999999999999">
      <c r="A83" s="88">
        <v>2009</v>
      </c>
      <c r="B83" s="79">
        <v>0.25935233877663982</v>
      </c>
      <c r="C83" s="79">
        <v>1.5051999999999999E-3</v>
      </c>
      <c r="D83" s="79">
        <v>-0.11116695313259162</v>
      </c>
      <c r="E83" s="102">
        <v>2.8141199999999998E-2</v>
      </c>
      <c r="F83" s="103">
        <v>0.2248826705676612</v>
      </c>
      <c r="G83" s="103">
        <v>-2.5906947411503456E-2</v>
      </c>
      <c r="H83" s="103">
        <v>-0.13549515682533853</v>
      </c>
      <c r="I83" s="88">
        <v>2009</v>
      </c>
      <c r="J83" s="111">
        <f t="shared" si="2"/>
        <v>142344.87355944986</v>
      </c>
      <c r="K83" s="112">
        <f t="shared" si="3"/>
        <v>14073.270774773415</v>
      </c>
    </row>
    <row r="84" spans="1:11" ht="16.149999999999999">
      <c r="A84" s="87">
        <v>2010</v>
      </c>
      <c r="B84" s="79">
        <v>0.14821092278719414</v>
      </c>
      <c r="C84" s="79">
        <v>1.3844621513944221E-3</v>
      </c>
      <c r="D84" s="79">
        <v>8.4629338803557719E-2</v>
      </c>
      <c r="E84" s="100">
        <v>1.4377899999999999E-2</v>
      </c>
      <c r="F84" s="104">
        <v>0.1319360593198986</v>
      </c>
      <c r="G84" s="104">
        <v>-1.2809267481680764E-2</v>
      </c>
      <c r="H84" s="104">
        <v>6.9255687454899961E-2</v>
      </c>
      <c r="I84" s="87">
        <v>2010</v>
      </c>
      <c r="J84" s="111">
        <f t="shared" si="2"/>
        <v>163441.93862372241</v>
      </c>
      <c r="K84" s="112">
        <f t="shared" si="3"/>
        <v>13941.676829221769</v>
      </c>
    </row>
    <row r="85" spans="1:11" ht="16.149999999999999">
      <c r="A85" s="88">
        <v>2011</v>
      </c>
      <c r="B85" s="79">
        <v>2.09837473362805E-2</v>
      </c>
      <c r="C85" s="79">
        <v>5.2839999999999994E-4</v>
      </c>
      <c r="D85" s="79">
        <v>0.16035334999461354</v>
      </c>
      <c r="E85" s="102">
        <v>3.0620699999999997E-2</v>
      </c>
      <c r="F85" s="103">
        <v>-9.3506298327983295E-3</v>
      </c>
      <c r="G85" s="103">
        <v>-2.9198229765809991E-2</v>
      </c>
      <c r="H85" s="103">
        <v>0.12587817224572873</v>
      </c>
      <c r="I85" s="88">
        <v>2011</v>
      </c>
      <c r="J85" s="111">
        <f t="shared" si="2"/>
        <v>166871.56296795449</v>
      </c>
      <c r="K85" s="112">
        <f t="shared" si="3"/>
        <v>15877.722345231465</v>
      </c>
    </row>
    <row r="86" spans="1:11" ht="16.149999999999999">
      <c r="A86" s="87">
        <v>2012</v>
      </c>
      <c r="B86" s="79">
        <v>0.15890585241730293</v>
      </c>
      <c r="C86" s="79">
        <v>8.7599999999999993E-4</v>
      </c>
      <c r="D86" s="79">
        <v>2.971571978018946E-2</v>
      </c>
      <c r="E86" s="100">
        <v>1.7595E-2</v>
      </c>
      <c r="F86" s="104">
        <v>0.13886747912214847</v>
      </c>
      <c r="G86" s="104">
        <v>-1.6429915634412429E-2</v>
      </c>
      <c r="H86" s="104">
        <v>1.1911143215315834E-2</v>
      </c>
      <c r="I86" s="87">
        <v>2012</v>
      </c>
      <c r="J86" s="111">
        <f t="shared" si="2"/>
        <v>193388.43092558492</v>
      </c>
      <c r="K86" s="112">
        <f t="shared" si="3"/>
        <v>20668.941806199975</v>
      </c>
    </row>
    <row r="87" spans="1:11" ht="16.149999999999999">
      <c r="A87" s="88">
        <v>2013</v>
      </c>
      <c r="B87" s="79">
        <v>0.32145085858125483</v>
      </c>
      <c r="C87" s="79">
        <v>5.708E-4</v>
      </c>
      <c r="D87" s="79">
        <v>-9.104568794347262E-2</v>
      </c>
      <c r="E87" s="102">
        <v>1.51284E-2</v>
      </c>
      <c r="F87" s="103">
        <v>0.30175735264746284</v>
      </c>
      <c r="G87" s="103">
        <v>-1.4340648926776223E-2</v>
      </c>
      <c r="H87" s="103">
        <v>-0.10459178163419791</v>
      </c>
      <c r="I87" s="88">
        <v>2013</v>
      </c>
      <c r="J87" s="111">
        <f t="shared" si="2"/>
        <v>255553.30808629587</v>
      </c>
      <c r="K87" s="112">
        <f t="shared" si="3"/>
        <v>23312.041044085308</v>
      </c>
    </row>
    <row r="88" spans="1:11" ht="16.149999999999999">
      <c r="A88" s="87">
        <v>2014</v>
      </c>
      <c r="B88" s="79">
        <v>0.13524421649462237</v>
      </c>
      <c r="C88" s="79">
        <v>3.2719999999999998E-4</v>
      </c>
      <c r="D88" s="79">
        <v>0.10746180452004755</v>
      </c>
      <c r="E88" s="100">
        <v>6.5312E-3</v>
      </c>
      <c r="F88" s="104">
        <v>0.12787782087095012</v>
      </c>
      <c r="G88" s="104">
        <v>-6.1637433593711988E-3</v>
      </c>
      <c r="H88" s="104">
        <v>0.10027568397288378</v>
      </c>
      <c r="I88" s="87">
        <v>2014</v>
      </c>
      <c r="J88" s="111">
        <f t="shared" si="2"/>
        <v>290115.4150110358</v>
      </c>
      <c r="K88" s="112">
        <f t="shared" si="3"/>
        <v>23483.495049845395</v>
      </c>
    </row>
    <row r="89" spans="1:11" ht="16.149999999999999">
      <c r="A89" s="89">
        <v>2015</v>
      </c>
      <c r="B89" s="79">
        <v>1.3788916411676138E-2</v>
      </c>
      <c r="C89" s="79">
        <v>5.2031872509960154E-4</v>
      </c>
      <c r="D89" s="79">
        <v>1.2842996709792224E-2</v>
      </c>
      <c r="E89" s="102">
        <v>6.3871999999999991E-3</v>
      </c>
      <c r="F89" s="103">
        <v>7.354740214975175E-3</v>
      </c>
      <c r="G89" s="103">
        <v>-5.8296461589540938E-3</v>
      </c>
      <c r="H89" s="103">
        <v>6.4148239462824552E-3</v>
      </c>
      <c r="I89" s="89">
        <v>2015</v>
      </c>
      <c r="J89" s="111">
        <f t="shared" si="2"/>
        <v>294115.79221836175</v>
      </c>
      <c r="K89" s="112">
        <f t="shared" si="3"/>
        <v>25720.744878328165</v>
      </c>
    </row>
    <row r="90" spans="1:11" ht="16.149999999999999">
      <c r="A90" s="90">
        <v>2016</v>
      </c>
      <c r="B90" s="79">
        <v>0.11773080874798171</v>
      </c>
      <c r="C90" s="79">
        <v>3.1612000000000003E-3</v>
      </c>
      <c r="D90" s="79">
        <v>6.9055046987477921E-3</v>
      </c>
      <c r="E90" s="100">
        <v>2.0508000000000002E-2</v>
      </c>
      <c r="F90" s="104">
        <v>9.5269031450984976E-2</v>
      </c>
      <c r="G90" s="104">
        <v>-1.6998200896024218E-2</v>
      </c>
      <c r="H90" s="104">
        <v>-1.3329141272044986E-2</v>
      </c>
      <c r="I90" s="90">
        <v>2016</v>
      </c>
      <c r="J90" s="111">
        <f t="shared" si="2"/>
        <v>328742.28230178286</v>
      </c>
      <c r="K90" s="112">
        <f t="shared" si="3"/>
        <v>30625.533218156794</v>
      </c>
    </row>
    <row r="91" spans="1:11" ht="16.149999999999999">
      <c r="A91" s="91">
        <v>2017</v>
      </c>
      <c r="B91" s="79">
        <v>0.2160548143449928</v>
      </c>
      <c r="C91" s="79">
        <v>9.3411999999999992E-3</v>
      </c>
      <c r="D91" s="79">
        <v>2.8017162707789457E-2</v>
      </c>
      <c r="E91" s="102">
        <v>2.12993E-2</v>
      </c>
      <c r="F91" s="103">
        <v>0.19069386843307612</v>
      </c>
      <c r="G91" s="103">
        <v>-1.1708712617349293E-2</v>
      </c>
      <c r="H91" s="103">
        <v>6.5777610028612266E-3</v>
      </c>
      <c r="I91" s="91">
        <v>2017</v>
      </c>
      <c r="J91" s="111">
        <f t="shared" si="2"/>
        <v>399768.63507184375</v>
      </c>
      <c r="K91" s="112">
        <f t="shared" si="3"/>
        <v>28755.242730550912</v>
      </c>
    </row>
    <row r="92" spans="1:11" ht="16.149999999999999">
      <c r="A92" s="90">
        <v>2018</v>
      </c>
      <c r="B92" s="79">
        <v>-4.2268692890885438E-2</v>
      </c>
      <c r="C92" s="79">
        <v>1.936305220883534E-2</v>
      </c>
      <c r="D92" s="79">
        <v>-1.6692385713402633E-4</v>
      </c>
      <c r="E92" s="100">
        <v>2.0023800000000001E-2</v>
      </c>
      <c r="F92" s="104">
        <v>-6.1069646503233876E-2</v>
      </c>
      <c r="G92" s="104">
        <v>-6.477768373293058E-4</v>
      </c>
      <c r="H92" s="104">
        <v>-1.9794365442388662E-2</v>
      </c>
      <c r="I92" s="90">
        <v>2018</v>
      </c>
      <c r="J92" s="111">
        <f t="shared" si="2"/>
        <v>382870.93740858353</v>
      </c>
      <c r="K92" s="112">
        <f t="shared" si="3"/>
        <v>36876.909085371488</v>
      </c>
    </row>
    <row r="93" spans="1:11" ht="16.149999999999999">
      <c r="A93" s="88">
        <v>2019</v>
      </c>
      <c r="B93" s="79">
        <v>0.31211679996808755</v>
      </c>
      <c r="C93" s="79">
        <v>2.0624799999999999E-2</v>
      </c>
      <c r="D93" s="79">
        <v>9.6356307415483927E-2</v>
      </c>
      <c r="E93" s="102">
        <v>2.3139900000000001E-2</v>
      </c>
      <c r="F93" s="103">
        <v>0.28244123796568532</v>
      </c>
      <c r="G93" s="103">
        <v>-2.4582171020797183E-3</v>
      </c>
      <c r="H93" s="103">
        <v>7.1560504497462984E-2</v>
      </c>
      <c r="I93" s="88">
        <v>2019</v>
      </c>
      <c r="J93" s="111">
        <f t="shared" si="2"/>
        <v>502371.38919333258</v>
      </c>
      <c r="K93" s="112">
        <f t="shared" si="3"/>
        <v>42955.420989888364</v>
      </c>
    </row>
    <row r="94" spans="1:11" ht="16.149999999999999">
      <c r="A94" s="90">
        <v>2020</v>
      </c>
      <c r="B94" s="79">
        <v>0.18023201827422478</v>
      </c>
      <c r="C94" s="79">
        <v>3.547410358565737E-3</v>
      </c>
      <c r="D94" s="79">
        <v>0.1133189764661412</v>
      </c>
      <c r="E94" s="100">
        <v>1.32204E-2</v>
      </c>
      <c r="F94" s="105">
        <v>0.16483246712583433</v>
      </c>
      <c r="G94" s="105">
        <v>-9.5467774251626336E-3</v>
      </c>
      <c r="H94" s="105">
        <v>9.8792500097847791E-2</v>
      </c>
      <c r="I94" s="90">
        <v>2020</v>
      </c>
      <c r="J94" s="111">
        <f t="shared" si="2"/>
        <v>592914.79859087302</v>
      </c>
      <c r="K94" s="112">
        <f t="shared" si="3"/>
        <v>51480.585947195199</v>
      </c>
    </row>
    <row r="95" spans="1:11" ht="16.149999999999999">
      <c r="A95" s="91">
        <v>2021</v>
      </c>
      <c r="B95" s="79">
        <v>0.28468851751964158</v>
      </c>
      <c r="C95" s="79">
        <v>4.5019920318725102E-4</v>
      </c>
      <c r="D95" s="79">
        <v>-4.416034448604475E-2</v>
      </c>
      <c r="E95" s="102">
        <v>7.1944599999999997E-2</v>
      </c>
      <c r="F95" s="106">
        <v>0.19846540345428454</v>
      </c>
      <c r="G95" s="106">
        <v>-6.6695984845497214E-2</v>
      </c>
      <c r="H95" s="106">
        <v>-0.10831244869002066</v>
      </c>
      <c r="I95" s="91">
        <v>2021</v>
      </c>
      <c r="J95" s="111">
        <f t="shared" si="2"/>
        <v>761710.83361716557</v>
      </c>
      <c r="K95" s="112">
        <f t="shared" si="3"/>
        <v>39639.998111346198</v>
      </c>
    </row>
    <row r="96" spans="1:11" ht="16.149999999999999">
      <c r="A96" s="90">
        <v>2022</v>
      </c>
      <c r="B96" s="79">
        <v>-0.18037505927178585</v>
      </c>
      <c r="C96" s="79">
        <v>2.0247791164658632E-2</v>
      </c>
      <c r="D96" s="79">
        <v>-0.1782817153825067</v>
      </c>
      <c r="E96" s="100">
        <v>6.4449400000000004E-2</v>
      </c>
      <c r="F96" s="105">
        <v>-0.23000103083508328</v>
      </c>
      <c r="G96" s="105">
        <v>-4.1525326460178813E-2</v>
      </c>
      <c r="H96" s="105">
        <v>-0.22803443299653947</v>
      </c>
      <c r="I96" s="90">
        <v>2022</v>
      </c>
      <c r="J96" s="111">
        <f t="shared" si="2"/>
        <v>624317.19685550791</v>
      </c>
      <c r="K96" s="112">
        <f t="shared" si="3"/>
        <v>48458.54649652214</v>
      </c>
    </row>
    <row r="97" spans="1:11" ht="16.149999999999999">
      <c r="A97" s="92">
        <v>2023</v>
      </c>
      <c r="B97" s="79">
        <v>0.26060684985024096</v>
      </c>
      <c r="C97" s="79">
        <v>5.0703614457831322E-2</v>
      </c>
      <c r="D97" s="79">
        <v>3.8800000000000001E-2</v>
      </c>
      <c r="E97" s="107">
        <v>3.1200000000000002E-2</v>
      </c>
      <c r="F97" s="108">
        <v>0.22246591335360844</v>
      </c>
      <c r="G97" s="108">
        <v>1.8913512856702175E-2</v>
      </c>
      <c r="H97" s="108">
        <v>7.3700543056633983E-3</v>
      </c>
      <c r="I97" s="92">
        <v>2023</v>
      </c>
      <c r="J97" s="111">
        <f t="shared" si="2"/>
        <v>787018.53483535454</v>
      </c>
      <c r="K97" s="112" t="e">
        <f t="shared" si="3"/>
        <v>#REF!</v>
      </c>
    </row>
    <row r="98" spans="1:11" ht="16.149999999999999">
      <c r="A98" s="92">
        <f>'Returns by year'!A99</f>
        <v>2024</v>
      </c>
      <c r="B98" s="79">
        <f>'Returns by year'!B99</f>
        <v>0.24878611262526726</v>
      </c>
      <c r="C98" s="79">
        <f>'Returns by year'!D99</f>
        <v>5.1799999999999999E-2</v>
      </c>
      <c r="D98" s="79">
        <f>'Returns by year'!E99</f>
        <v>-1.6371801436629807E-2</v>
      </c>
      <c r="E98" s="107" t="e">
        <f>'Returns by year'!#REF!</f>
        <v>#REF!</v>
      </c>
      <c r="F98" s="108" t="e">
        <f>'Returns by year'!#REF!</f>
        <v>#REF!</v>
      </c>
      <c r="G98" s="108" t="e">
        <f>'Returns by year'!#REF!</f>
        <v>#REF!</v>
      </c>
      <c r="H98" s="108" t="e">
        <f>'Returns by year'!#REF!</f>
        <v>#REF!</v>
      </c>
      <c r="I98" s="92">
        <f>A98</f>
        <v>2024</v>
      </c>
      <c r="J98" s="111">
        <f t="shared" si="2"/>
        <v>982817.81668107596</v>
      </c>
      <c r="K98" s="112" t="e">
        <f t="shared" si="3"/>
        <v>#REF!</v>
      </c>
    </row>
    <row r="99" spans="1:11" ht="16.149999999999999">
      <c r="A99" s="92">
        <f>'Returns by year'!A100</f>
        <v>2025</v>
      </c>
      <c r="B99" s="79">
        <f>'Returns by year'!B100</f>
        <v>0.17723658237597398</v>
      </c>
      <c r="C99" s="79">
        <f>'Returns by year'!D100</f>
        <v>4.2099999999999999E-2</v>
      </c>
      <c r="D99" s="79">
        <f>'Returns by year'!E100</f>
        <v>7.7954808707673962E-2</v>
      </c>
      <c r="E99" s="107" t="e">
        <f>'Returns by year'!#REF!</f>
        <v>#REF!</v>
      </c>
      <c r="F99" s="108" t="e">
        <f>'Returns by year'!#REF!</f>
        <v>#REF!</v>
      </c>
      <c r="G99" s="108" t="e">
        <f>'Returns by year'!#REF!</f>
        <v>#REF!</v>
      </c>
      <c r="H99" s="108" t="e">
        <f>'Returns by year'!#REF!</f>
        <v>#REF!</v>
      </c>
      <c r="I99" s="92">
        <f>A99</f>
        <v>2025</v>
      </c>
      <c r="J99" s="111">
        <f t="shared" si="2"/>
        <v>1157009.0876078464</v>
      </c>
      <c r="K99" s="112" t="e">
        <f t="shared" si="3"/>
        <v>#REF!</v>
      </c>
    </row>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ColWidth="11.07421875" defaultRowHeight="13.9"/>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11.07421875" defaultRowHeight="13.9"/>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ColWidth="11.07421875" defaultRowHeight="13.9"/>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ColWidth="11.07421875" defaultRowHeight="13.9"/>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ColWidth="11.07421875" defaultRowHeight="13.9"/>
  <sheetData/>
  <phoneticPr fontId="42" type="noConversion"/>
  <printOptions gridLines="1" gridLinesSet="0"/>
  <pageMargins left="0.75" right="0.75" top="1" bottom="1" header="0.5" footer="0.5"/>
  <headerFooter alignWithMargins="0">
    <oddHeader>&amp;A</oddHead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ColWidth="11.07421875" defaultRowHeight="13.9"/>
  <sheetData/>
  <phoneticPr fontId="42"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Charts</vt:lpstr>
      </vt:variant>
      <vt:variant>
        <vt:i4>5</vt:i4>
      </vt:variant>
    </vt:vector>
  </HeadingPairs>
  <TitlesOfParts>
    <vt:vector size="24" baseType="lpstr">
      <vt:lpstr>Explanations and FAQ</vt:lpstr>
      <vt:lpstr>Returns by year</vt:lpstr>
      <vt:lpstr>S&amp;P 500 &amp; Raw Data</vt:lpstr>
      <vt:lpstr>Small Cap</vt:lpstr>
      <vt:lpstr>T. Bond yield &amp; return</vt:lpstr>
      <vt:lpstr>T. Bill rates</vt:lpstr>
      <vt:lpstr>Inflation Rate</vt:lpstr>
      <vt:lpstr>Summary for ppt</vt:lpstr>
      <vt:lpstr>Home Prices (Raw Data)</vt:lpstr>
      <vt:lpstr>Moody's Rates</vt:lpstr>
      <vt:lpstr>Home Prices</vt:lpstr>
      <vt:lpstr>Gold Prices</vt:lpstr>
      <vt:lpstr>Nominal vs Real Data</vt:lpstr>
      <vt:lpstr>Sheet11</vt:lpstr>
      <vt:lpstr>Sheet12</vt:lpstr>
      <vt:lpstr>Sheet13</vt:lpstr>
      <vt:lpstr>Sheet14</vt:lpstr>
      <vt:lpstr>Sheet15</vt:lpstr>
      <vt:lpstr>Sheet16</vt:lpstr>
      <vt:lpstr>S&amp;P 500</vt:lpstr>
      <vt:lpstr>T Bond Rate historical chart</vt:lpstr>
      <vt:lpstr>Return Chart</vt:lpstr>
      <vt:lpstr>NominalvsReal</vt:lpstr>
      <vt:lpstr>NominalvsRealValue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Historical Returns</dc:title>
  <dc:creator>Aswath Damodaran</dc:creator>
  <cp:keywords/>
  <cp:lastModifiedBy>pilottam@connect.hku.hk</cp:lastModifiedBy>
  <dcterms:created xsi:type="dcterms:W3CDTF">1999-02-15T16:07:18Z</dcterms:created>
  <dcterms:modified xsi:type="dcterms:W3CDTF">2026-02-24T06:18:21Z</dcterms:modified>
</cp:coreProperties>
</file>