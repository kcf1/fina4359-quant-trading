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cf1\Downloads\"/>
    </mc:Choice>
  </mc:AlternateContent>
  <xr:revisionPtr revIDLastSave="0" documentId="13_ncr:1_{69D18444-B0FA-432F-A8B3-E230CD900CEC}" xr6:coauthVersionLast="47" xr6:coauthVersionMax="47" xr10:uidLastSave="{00000000-0000-0000-0000-000000000000}"/>
  <bookViews>
    <workbookView xWindow="-120" yWindow="-120" windowWidth="29040" windowHeight="15720" xr2:uid="{E673C5D7-9E89-406F-A486-55B2CFB8A1AD}"/>
  </bookViews>
  <sheets>
    <sheet name="data" sheetId="1" r:id="rId1"/>
    <sheet name="meta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O2" i="1" l="1"/>
  <c r="A35" i="2"/>
  <c r="C35" i="2"/>
  <c r="D35" i="2"/>
  <c r="E35" i="2"/>
  <c r="B1" i="1" a="1"/>
  <c r="I2" i="1"/>
  <c r="G2" i="1"/>
  <c r="AW2" i="1"/>
  <c r="AY2" i="1"/>
  <c r="K2" i="1"/>
  <c r="Y2" i="1"/>
  <c r="AO2" i="1"/>
  <c r="AC2" i="1"/>
  <c r="AA2" i="1"/>
  <c r="BI2" i="1"/>
  <c r="BC2" i="1"/>
  <c r="BK2" i="1"/>
  <c r="AE2" i="1"/>
  <c r="AK2" i="1"/>
  <c r="BE2" i="1"/>
  <c r="U2" i="1"/>
  <c r="AU2" i="1"/>
  <c r="BA2" i="1"/>
  <c r="Q2" i="1"/>
  <c r="AG2" i="1"/>
  <c r="S2" i="1"/>
  <c r="AS2" i="1"/>
  <c r="O2" i="1"/>
  <c r="C2" i="1"/>
  <c r="AI2" i="1"/>
  <c r="BG2" i="1"/>
  <c r="M2" i="1"/>
  <c r="AQ2" i="1"/>
  <c r="W2" i="1"/>
  <c r="BM2" i="1"/>
  <c r="AM2" i="1"/>
  <c r="E2" i="1"/>
  <c r="D34" i="2"/>
  <c r="E34" i="2"/>
  <c r="C34" i="2"/>
  <c r="D33" i="2"/>
  <c r="E33" i="2"/>
  <c r="C33" i="2"/>
  <c r="E30" i="2"/>
  <c r="C30" i="2"/>
  <c r="D30" i="2"/>
  <c r="D31" i="2"/>
  <c r="C31" i="2"/>
  <c r="E31" i="2"/>
  <c r="E32" i="2"/>
  <c r="D32" i="2"/>
  <c r="C32" i="2"/>
  <c r="C29" i="2"/>
  <c r="E29" i="2"/>
  <c r="D29" i="2"/>
  <c r="C13" i="2"/>
  <c r="E13" i="2"/>
  <c r="D13" i="2"/>
  <c r="E28" i="2"/>
  <c r="D28" i="2"/>
  <c r="C28" i="2"/>
  <c r="E27" i="2"/>
  <c r="D27" i="2"/>
  <c r="C27" i="2"/>
  <c r="E26" i="2"/>
  <c r="C26" i="2"/>
  <c r="D26" i="2"/>
  <c r="C25" i="2"/>
  <c r="D25" i="2"/>
  <c r="E25" i="2"/>
  <c r="C24" i="2"/>
  <c r="D24" i="2"/>
  <c r="E24" i="2"/>
  <c r="E23" i="2"/>
  <c r="D23" i="2"/>
  <c r="C23" i="2"/>
  <c r="C22" i="2"/>
  <c r="E22" i="2"/>
  <c r="D22" i="2"/>
  <c r="E21" i="2"/>
  <c r="C21" i="2"/>
  <c r="D21" i="2"/>
  <c r="C20" i="2"/>
  <c r="D20" i="2"/>
  <c r="E20" i="2"/>
  <c r="C19" i="2"/>
  <c r="E19" i="2"/>
  <c r="D19" i="2"/>
  <c r="E18" i="2"/>
  <c r="C18" i="2"/>
  <c r="D18" i="2"/>
  <c r="D17" i="2"/>
  <c r="C17" i="2"/>
  <c r="E17" i="2"/>
  <c r="E16" i="2"/>
  <c r="C16" i="2"/>
  <c r="D16" i="2"/>
  <c r="D15" i="2"/>
  <c r="E15" i="2"/>
  <c r="C15" i="2"/>
  <c r="E14" i="2"/>
  <c r="D14" i="2"/>
  <c r="C14" i="2"/>
  <c r="C12" i="2"/>
  <c r="D12" i="2"/>
  <c r="E12" i="2"/>
  <c r="E8" i="2"/>
  <c r="C8" i="2"/>
  <c r="D8" i="2"/>
  <c r="D9" i="2"/>
  <c r="D10" i="2"/>
  <c r="C10" i="2"/>
  <c r="E9" i="2"/>
  <c r="E7" i="2"/>
  <c r="D7" i="2"/>
  <c r="C7" i="2"/>
  <c r="E10" i="2"/>
  <c r="C9" i="2"/>
  <c r="C6" i="2"/>
  <c r="D6" i="2"/>
  <c r="E6" i="2"/>
  <c r="E11" i="2"/>
  <c r="E4" i="2"/>
  <c r="D5" i="2"/>
  <c r="C5" i="2"/>
  <c r="E3" i="2"/>
  <c r="C4" i="2"/>
  <c r="C2" i="2"/>
  <c r="D4" i="2"/>
  <c r="C11" i="2"/>
  <c r="D2" i="2"/>
  <c r="D11" i="2"/>
  <c r="D3" i="2"/>
  <c r="E2" i="2"/>
  <c r="E5" i="2"/>
  <c r="C3" i="2"/>
  <c r="B1" i="1" l="1"/>
  <c r="A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<sst xmlns="http://schemas.openxmlformats.org/spreadsheetml/2006/main" count="72" uniqueCount="68">
  <si>
    <t>Ticker</t>
  </si>
  <si>
    <t>SG Trend</t>
  </si>
  <si>
    <t>NAME</t>
  </si>
  <si>
    <t>SECURITY_DES</t>
  </si>
  <si>
    <t>CRNCY</t>
  </si>
  <si>
    <t>NEIXCTAT Index</t>
  </si>
  <si>
    <t>Description</t>
  </si>
  <si>
    <t>BBG G10 Carry</t>
  </si>
  <si>
    <t>BBG EM8 Carry</t>
  </si>
  <si>
    <t>FXCTG10 Index</t>
  </si>
  <si>
    <t>FXCTEM8 Index</t>
  </si>
  <si>
    <t>BSLFXC Index</t>
  </si>
  <si>
    <t>LEGATRUH Index</t>
  </si>
  <si>
    <t>BBG GlobalAgg investment grade debt</t>
  </si>
  <si>
    <t>BBG FX Carry - Eq Risk G10/EM8</t>
  </si>
  <si>
    <t>BSLXAT Index</t>
  </si>
  <si>
    <t>BBG Trend - Eq Risk Bond/Equity/Commodity/FX</t>
  </si>
  <si>
    <t>BSLEQT Index</t>
  </si>
  <si>
    <t>BSLCMT Index</t>
  </si>
  <si>
    <t>BSLFXT Index</t>
  </si>
  <si>
    <t>BSLBFT Index</t>
  </si>
  <si>
    <t>BBG Equity Trend</t>
  </si>
  <si>
    <t>BBG Bond Trend</t>
  </si>
  <si>
    <t>BBG Commodity Trend</t>
  </si>
  <si>
    <t>BBG FX Trend</t>
  </si>
  <si>
    <t>LF94TRUU Index</t>
  </si>
  <si>
    <t>BBG Global Inflation Linked</t>
  </si>
  <si>
    <t>USYC2Y10 Index</t>
  </si>
  <si>
    <t>US 10y-2y Yield</t>
  </si>
  <si>
    <t>BERYTR Index</t>
  </si>
  <si>
    <t>BBG CM Roll Yield</t>
  </si>
  <si>
    <t>BCOMRS Index</t>
  </si>
  <si>
    <t>BBG Energy Roll Yield</t>
  </si>
  <si>
    <t>BBG Metal Roll Yield</t>
  </si>
  <si>
    <t>BBG AggLiv Roll Yield</t>
  </si>
  <si>
    <t>BERYALT Index</t>
  </si>
  <si>
    <t>BERYENT Index</t>
  </si>
  <si>
    <t>BERYPRT Index</t>
  </si>
  <si>
    <t>MSCI World Equity</t>
  </si>
  <si>
    <t>M1WO Index</t>
  </si>
  <si>
    <t>M1WOQU Index</t>
  </si>
  <si>
    <t>M1WOMVOL Index</t>
  </si>
  <si>
    <t>M1WOMOM Index</t>
  </si>
  <si>
    <t>MSCI World Quality</t>
  </si>
  <si>
    <t>MSCI World MinVol</t>
  </si>
  <si>
    <t>MSCI World Momentum</t>
  </si>
  <si>
    <t>MSCI World Value</t>
  </si>
  <si>
    <t>M1WO000V Index</t>
  </si>
  <si>
    <t>M1WO000G Index</t>
  </si>
  <si>
    <t>MSCI World Growth</t>
  </si>
  <si>
    <t>SPRP10T Index</t>
  </si>
  <si>
    <t>SP Risk Parity</t>
  </si>
  <si>
    <t>SPLPEQTY Index</t>
  </si>
  <si>
    <t>SP Listed Private Equity</t>
  </si>
  <si>
    <t>BHVOLA Index</t>
  </si>
  <si>
    <t>BBG Vol Fund</t>
  </si>
  <si>
    <t>LUMSTRUU Index</t>
  </si>
  <si>
    <t>BBG US MBS</t>
  </si>
  <si>
    <t>LUCROAS Index</t>
  </si>
  <si>
    <t>BBG US Credit</t>
  </si>
  <si>
    <t>USYC5Y30 Index</t>
  </si>
  <si>
    <t>USYC3M10 Index</t>
  </si>
  <si>
    <t>USYC5Y10 Index</t>
  </si>
  <si>
    <t>SBWGU Index</t>
  </si>
  <si>
    <t>FTSE World Government Bond</t>
  </si>
  <si>
    <t>MXWOGVST Index</t>
  </si>
  <si>
    <t>MSCI World Growth Value Rotation</t>
  </si>
  <si>
    <t>VPN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</si>
</sst>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Data...3309824152</v>
        <stp/>
        <stp>BDP|12629981443403515600</stp>
        <tr r="C5" s="2"/>
      </tp>
      <tp t="s">
        <v>#N/A Requesting Data...2596294262</v>
        <stp/>
        <stp>BDP|11955272425773829897</stp>
        <tr r="C4" s="2"/>
      </tp>
      <tp t="s">
        <v>#N/A N/A</v>
        <stp/>
        <stp>BDP|17812022623958966757</stp>
        <tr r="D24" s="2"/>
      </tp>
      <tp t="s">
        <v>#N/A N/A</v>
        <stp/>
        <stp>BDP|17557417492068249828</stp>
        <tr r="D9" s="2"/>
      </tp>
      <tp t="s">
        <v>#N/A N/A</v>
        <stp/>
        <stp>BDP|18369704604233451726</stp>
        <tr r="A35" s="2"/>
        <tr r="C35" s="2"/>
      </tp>
      <tp t="s">
        <v>#N/A N/A</v>
        <stp/>
        <stp>BDP|14849669228088154343</stp>
        <tr r="C29" s="2"/>
      </tp>
      <tp t="s">
        <v>#N/A N/A</v>
        <stp/>
        <stp>BDP|11476151515418090271</stp>
        <tr r="D25" s="2"/>
      </tp>
      <tp t="s">
        <v>#N/A N/A</v>
        <stp/>
        <stp>BDH|11412907066981218425</stp>
        <tr r="AG2" s="1"/>
      </tp>
      <tp t="s">
        <v>#N/A N/A</v>
        <stp/>
        <stp>BDH|10966927266122418614</stp>
        <tr r="O2" s="1"/>
      </tp>
      <tp t="s">
        <v>#N/A N/A</v>
        <stp/>
        <stp>BDP|11810062520803713851</stp>
        <tr r="D14" s="2"/>
      </tp>
      <tp t="s">
        <v>#N/A N/A</v>
        <stp/>
        <stp>BDP|14226838804044629060</stp>
        <tr r="E14" s="2"/>
      </tp>
      <tp t="s">
        <v>#N/A N/A</v>
        <stp/>
        <stp>BDP|14274003717638572414</stp>
        <tr r="D34" s="2"/>
      </tp>
      <tp t="s">
        <v>#N/A N/A</v>
        <stp/>
        <stp>BDP|10965829674502450482</stp>
        <tr r="C16" s="2"/>
      </tp>
      <tp t="s">
        <v>#N/A Requesting Data...3408466082</v>
        <stp/>
        <stp>BDP|16937912855374157785</stp>
        <tr r="E4" s="2"/>
      </tp>
      <tp t="s">
        <v>#N/A N/A</v>
        <stp/>
        <stp>BDH|17916401724369686187</stp>
        <tr r="I2" s="1"/>
      </tp>
      <tp t="s">
        <v>#N/A N/A</v>
        <stp/>
        <stp>BDH|10798352480994457653</stp>
        <tr r="Q2" s="1"/>
      </tp>
      <tp t="s">
        <v>#N/A N/A</v>
        <stp/>
        <stp>BDP|12018080887072034671</stp>
        <tr r="C24" s="2"/>
      </tp>
      <tp t="s">
        <v>#N/A N/A</v>
        <stp/>
        <stp>BDP|13855911600566584233</stp>
        <tr r="C10" s="2"/>
      </tp>
      <tp t="s">
        <v>#N/A N/A</v>
        <stp/>
        <stp>BDP|12833166441098527145</stp>
        <tr r="C17" s="2"/>
      </tp>
      <tp t="s">
        <v>#N/A N/A</v>
        <stp/>
        <stp>BDH|16207740943458558322</stp>
        <tr r="BM2" s="1"/>
      </tp>
      <tp t="s">
        <v>#N/A N/A</v>
        <stp/>
        <stp>BDP|16428424775928861268</stp>
        <tr r="E18" s="2"/>
      </tp>
      <tp t="s">
        <v>#N/A N/A</v>
        <stp/>
        <stp>BDP|14500541141898347252</stp>
        <tr r="E16" s="2"/>
      </tp>
      <tp t="s">
        <v>#N/A N/A</v>
        <stp/>
        <stp>BDP|12842615826443716913</stp>
        <tr r="E27" s="2"/>
      </tp>
      <tp t="s">
        <v>#N/A N/A</v>
        <stp/>
        <stp>BDH|16977735000094562940</stp>
        <tr r="E2" s="1"/>
      </tp>
      <tp t="s">
        <v>#N/A N/A</v>
        <stp/>
        <stp>BDP|17245395805216231053</stp>
        <tr r="D10" s="2"/>
      </tp>
      <tp t="s">
        <v>#N/A N/A</v>
        <stp/>
        <stp>BDP|16901172426724050337</stp>
        <tr r="E23" s="2"/>
      </tp>
      <tp t="s">
        <v>#N/A N/A</v>
        <stp/>
        <stp>BDP|13019919518999611053</stp>
        <tr r="D18" s="2"/>
      </tp>
      <tp t="s">
        <v>#N/A N/A</v>
        <stp/>
        <stp>BDP|15930694213092825326</stp>
        <tr r="C25" s="2"/>
      </tp>
      <tp t="s">
        <v>#N/A N/A</v>
        <stp/>
        <stp>BDH|12699609157623855176</stp>
        <tr r="C2" s="1"/>
      </tp>
      <tp t="s">
        <v>#N/A Requesting Data...3173477499</v>
        <stp/>
        <stp>BDP|13139035852676913021</stp>
        <tr r="E3" s="2"/>
      </tp>
      <tp t="s">
        <v>#N/A N/A</v>
        <stp/>
        <stp>BDH|15478009385588286575</stp>
        <tr r="W2" s="1"/>
      </tp>
      <tp t="s">
        <v>#N/A N/A</v>
        <stp/>
        <stp>BDH|13998562375466511711</stp>
        <tr r="AI2" s="1"/>
      </tp>
      <tp t="s">
        <v>#N/A N/A</v>
        <stp/>
        <stp>BDP|16493007459555706722</stp>
        <tr r="D23" s="2"/>
      </tp>
      <tp t="s">
        <v>#N/A N/A</v>
        <stp/>
        <stp>BDP|12054648266076711504</stp>
        <tr r="C22" s="2"/>
      </tp>
      <tp t="s">
        <v>#N/A N/A</v>
        <stp/>
        <stp>BDP|15240320719511931764</stp>
        <tr r="D17" s="2"/>
      </tp>
      <tp t="s">
        <v>#N/A N/A</v>
        <stp/>
        <stp>BDH|12764814756847979926</stp>
        <tr r="M2" s="1"/>
      </tp>
      <tp t="s">
        <v>#N/A N/A</v>
        <stp/>
        <stp>BDP|13080759608132322082</stp>
        <tr r="E9" s="2"/>
      </tp>
      <tp t="s">
        <v>#N/A N/A</v>
        <stp/>
        <stp>BDH|14019373229330834339</stp>
        <tr r="BO2" s="1"/>
      </tp>
      <tp t="s">
        <v>#N/A N/A</v>
        <stp/>
        <stp>BDH|10430146107794368338</stp>
        <tr r="BA2" s="1"/>
      </tp>
      <tp t="s">
        <v>#N/A N/A</v>
        <stp/>
        <stp>BDP|18395135738344164931</stp>
        <tr r="C32" s="2"/>
      </tp>
      <tp t="s">
        <v>#N/A N/A</v>
        <stp/>
        <stp>BDP|12865919896331386416</stp>
        <tr r="D21" s="2"/>
      </tp>
      <tp t="s">
        <v>#N/A Requesting Data...3945089916</v>
        <stp/>
        <stp>BDP|13981065752799297823</stp>
        <tr r="D5" s="2"/>
      </tp>
      <tp t="s">
        <v>#N/A N/A</v>
        <stp/>
        <stp>BDP|10499603914314188414</stp>
        <tr r="C20" s="2"/>
      </tp>
      <tp t="s">
        <v>#N/A N/A</v>
        <stp/>
        <stp>BDP|14124749820562011405</stp>
        <tr r="D27" s="2"/>
      </tp>
      <tp t="s">
        <v>#N/A N/A</v>
        <stp/>
        <stp>BDP|14775227800033853280</stp>
        <tr r="E26" s="2"/>
      </tp>
      <tp t="s">
        <v>#N/A N/A</v>
        <stp/>
        <stp>BDH|14236951706789596352</stp>
        <tr r="AQ2" s="1"/>
      </tp>
      <tp t="s">
        <v>#N/A N/A</v>
        <stp/>
        <stp>BDP|12538468538284015563</stp>
        <tr r="E28" s="2"/>
      </tp>
      <tp t="s">
        <v>#N/A N/A</v>
        <stp/>
        <stp>BDH|15972040329726808543</stp>
        <tr r="AM2" s="1"/>
      </tp>
      <tp t="s">
        <v>#N/A N/A</v>
        <stp/>
        <stp>BDP|11023516671562293493</stp>
        <tr r="C23" s="2"/>
      </tp>
      <tp t="s">
        <v>#N/A N/A</v>
        <stp/>
        <stp>BDP|16998718918933815686</stp>
        <tr r="C13" s="2"/>
      </tp>
      <tp t="s">
        <v>#N/A N/A</v>
        <stp/>
        <stp>BDP|10801392417604732319</stp>
        <tr r="D31" s="2"/>
      </tp>
      <tp t="s">
        <v>#N/A Requesting Data...2094869717</v>
        <stp/>
        <stp>BDP|17242382214914918450</stp>
        <tr r="E11" s="2"/>
      </tp>
      <tp t="s">
        <v>#N/A N/A</v>
        <stp/>
        <stp>BDP|10362153675873702006</stp>
        <tr r="D26" s="2"/>
      </tp>
      <tp t="s">
        <v>#N/A N/A</v>
        <stp/>
        <stp>BDH|14276828499283753368</stp>
        <tr r="BG2" s="1"/>
      </tp>
    </main>
    <main first="bofaddin.rtdserver">
      <tp t="s">
        <v>#N/A N/A</v>
        <stp/>
        <stp>BDP|2713515399940827299</stp>
        <tr r="E20" s="2"/>
      </tp>
      <tp t="s">
        <v>#N/A Requesting Data...4172422077</v>
        <stp/>
        <stp>BDP|9590366167651566127</stp>
        <tr r="C2" s="2"/>
      </tp>
      <tp t="s">
        <v>#N/A N/A</v>
        <stp/>
        <stp>BDH|4605424291702004747</stp>
        <tr r="A2" s="1"/>
      </tp>
      <tp t="s">
        <v>#N/A N/A</v>
        <stp/>
        <stp>BDP|9931263269907597646</stp>
        <tr r="C19" s="2"/>
      </tp>
      <tp t="s">
        <v>#N/A N/A</v>
        <stp/>
        <stp>BDH|9098702950830293768</stp>
        <tr r="AS2" s="1"/>
      </tp>
      <tp t="s">
        <v>#N/A N/A</v>
        <stp/>
        <stp>BDP|4494338986497631420</stp>
        <tr r="D8" s="2"/>
      </tp>
      <tp t="s">
        <v>#N/A Requesting Data...970276480</v>
        <stp/>
        <stp>BDP|2671399587870247412</stp>
        <tr r="D2" s="2"/>
      </tp>
      <tp t="s">
        <v>#N/A N/A</v>
        <stp/>
        <stp>BDP|6766968697493878869</stp>
        <tr r="C33" s="2"/>
      </tp>
      <tp t="s">
        <v>#N/A Requesting Data...2642400786</v>
        <stp/>
        <stp>BDP|7352269401138468065</stp>
        <tr r="D3" s="2"/>
      </tp>
      <tp t="s">
        <v>#N/A N/A</v>
        <stp/>
        <stp>BDP|9251105714074975084</stp>
        <tr r="D35" s="2"/>
      </tp>
      <tp t="s">
        <v>#N/A N/A</v>
        <stp/>
        <stp>BDH|3118980570653835341</stp>
        <tr r="Y2" s="1"/>
      </tp>
      <tp t="s">
        <v>#N/A N/A</v>
        <stp/>
        <stp>BDP|7460906554397843261</stp>
        <tr r="D12" s="2"/>
      </tp>
      <tp t="s">
        <v>#N/A N/A</v>
        <stp/>
        <stp>BDP|4106968507342686140</stp>
        <tr r="E10" s="2"/>
      </tp>
      <tp t="s">
        <v>#N/A N/A</v>
        <stp/>
        <stp>BDH|4803554884263710566</stp>
        <tr r="BI2" s="1"/>
      </tp>
      <tp t="s">
        <v>#N/A N/A</v>
        <stp/>
        <stp>BDP|5363638364363467924</stp>
        <tr r="E25" s="2"/>
      </tp>
      <tp t="s">
        <v>#N/A N/A</v>
        <stp/>
        <stp>BDP|3205278159178732417</stp>
        <tr r="C30" s="2"/>
      </tp>
      <tp t="s">
        <v>#N/A N/A</v>
        <stp/>
        <stp>BDH|3155676289684801199</stp>
        <tr r="AC2" s="1"/>
      </tp>
      <tp t="s">
        <v>#N/A N/A</v>
        <stp/>
        <stp>BDP|8143908687593104285</stp>
        <tr r="E22" s="2"/>
      </tp>
      <tp t="s">
        <v>#N/A N/A</v>
        <stp/>
        <stp>BDP|8735109969507297036</stp>
        <tr r="E19" s="2"/>
      </tp>
      <tp t="s">
        <v>#N/A N/A</v>
        <stp/>
        <stp>BDP|5328787761395387959</stp>
        <tr r="C7" s="2"/>
      </tp>
      <tp t="s">
        <v>#N/A N/A</v>
        <stp/>
        <stp>BDP|8400605446013112115</stp>
        <tr r="E30" s="2"/>
      </tp>
      <tp t="s">
        <v>#N/A N/A</v>
        <stp/>
        <stp>BDH|8184940279646392884</stp>
        <tr r="BE2" s="1"/>
      </tp>
      <tp t="s">
        <v>#N/A N/A</v>
        <stp/>
        <stp>BDP|3617981423017006795</stp>
        <tr r="D16" s="2"/>
      </tp>
      <tp t="s">
        <v>#N/A Requesting Data...1447241300</v>
        <stp/>
        <stp>BDP|3666886917346201515</stp>
        <tr r="D11" s="2"/>
      </tp>
      <tp t="s">
        <v>#N/A N/A</v>
        <stp/>
        <stp>BDP|1061884971071704629</stp>
        <tr r="E33" s="2"/>
      </tp>
      <tp t="s">
        <v>#N/A N/A</v>
        <stp/>
        <stp>BDP|7263618610579471047</stp>
        <tr r="E24" s="2"/>
      </tp>
      <tp t="s">
        <v>#N/A N/A</v>
        <stp/>
        <stp>BDP|4804895210622130631</stp>
        <tr r="E17" s="2"/>
      </tp>
      <tp t="s">
        <v>#N/A N/A</v>
        <stp/>
        <stp>BDP|8459876580632731327</stp>
        <tr r="C12" s="2"/>
      </tp>
      <tp t="s">
        <v>#N/A N/A</v>
        <stp/>
        <stp>BDP|8300713132597931125</stp>
        <tr r="C14" s="2"/>
      </tp>
      <tp t="s">
        <v>#N/A N/A</v>
        <stp/>
        <stp>BDP|2093315748809230622</stp>
        <tr r="E6" s="2"/>
      </tp>
      <tp t="s">
        <v>#N/A N/A</v>
        <stp/>
        <stp>BDH|6796961540027531695</stp>
        <tr r="AE2" s="1"/>
      </tp>
      <tp t="s">
        <v>#N/A N/A</v>
        <stp/>
        <stp>BDP|3740496736507438994</stp>
        <tr r="D32" s="2"/>
      </tp>
      <tp t="s">
        <v>#N/A N/A</v>
        <stp/>
        <stp>BDP|3002546193785385155</stp>
        <tr r="D15" s="2"/>
      </tp>
      <tp t="s">
        <v>#N/A Requesting Data...3145527591</v>
        <stp/>
        <stp>BDP|2377826553213774720</stp>
        <tr r="E2" s="2"/>
      </tp>
      <tp t="s">
        <v>#N/A N/A</v>
        <stp/>
        <stp>BDP|5480815084910379184</stp>
        <tr r="E31" s="2"/>
      </tp>
      <tp t="s">
        <v>#N/A N/A</v>
        <stp/>
        <stp>BDH|5661419291255208961</stp>
        <tr r="BK2" s="1"/>
      </tp>
      <tp t="s">
        <v>#N/A N/A</v>
        <stp/>
        <stp>BDP|4866844405541143983</stp>
        <tr r="C6" s="2"/>
      </tp>
      <tp t="s">
        <v>#N/A N/A</v>
        <stp/>
        <stp>BDP|6204036623877735748</stp>
        <tr r="D22" s="2"/>
      </tp>
      <tp t="s">
        <v>#N/A N/A</v>
        <stp/>
        <stp>BDP|5051476786284385940</stp>
        <tr r="C21" s="2"/>
      </tp>
      <tp t="s">
        <v>#N/A N/A</v>
        <stp/>
        <stp>BDH|9161863259175850506</stp>
        <tr r="AU2" s="1"/>
      </tp>
      <tp t="s">
        <v>#N/A N/A</v>
        <stp/>
        <stp>BDP|1662295848535416676</stp>
        <tr r="D6" s="2"/>
      </tp>
      <tp t="s">
        <v>#N/A N/A</v>
        <stp/>
        <stp>BDP|9672468254309064514</stp>
        <tr r="E32" s="2"/>
      </tp>
      <tp t="s">
        <v>#N/A Requesting Data...429636900</v>
        <stp/>
        <stp>BDP|9468218729959196480</stp>
        <tr r="C11" s="2"/>
      </tp>
      <tp t="s">
        <v>#N/A N/A</v>
        <stp/>
        <stp>BDP|5210119531975186790</stp>
        <tr r="C8" s="2"/>
      </tp>
      <tp t="s">
        <v>#N/A N/A</v>
        <stp/>
        <stp>BDP|5911630464737080770</stp>
        <tr r="E13" s="2"/>
      </tp>
      <tp t="s">
        <v>#N/A N/A</v>
        <stp/>
        <stp>BDP|8146269596527526181</stp>
        <tr r="C26" s="2"/>
      </tp>
      <tp t="s">
        <v>#N/A N/A</v>
        <stp/>
        <stp>BDP|1242404009117084799</stp>
        <tr r="E29" s="2"/>
      </tp>
      <tp t="s">
        <v>#N/A N/A</v>
        <stp/>
        <stp>BDH|4934943999172480328</stp>
        <tr r="BC2" s="1"/>
      </tp>
      <tp t="s">
        <v>#N/A N/A</v>
        <stp/>
        <stp>BDP|4609546971865393667</stp>
        <tr r="D19" s="2"/>
      </tp>
      <tp t="s">
        <v>#N/A N/A</v>
        <stp/>
        <stp>BDP|9316486295034776623</stp>
        <tr r="C31" s="2"/>
      </tp>
      <tp t="s">
        <v>#N/A N/A</v>
        <stp/>
        <stp>BDP|9592511558338791736</stp>
        <tr r="D33" s="2"/>
      </tp>
      <tp t="s">
        <v>#N/A N/A</v>
        <stp/>
        <stp>BDH|1838633440792184725</stp>
        <tr r="AW2" s="1"/>
      </tp>
      <tp t="s">
        <v>#N/A N/A</v>
        <stp/>
        <stp>BDH|8485199307798253743</stp>
        <tr r="U2" s="1"/>
      </tp>
      <tp t="s">
        <v>#N/A N/A</v>
        <stp/>
        <stp>BDP|1935111857331712366</stp>
        <tr r="C15" s="2"/>
      </tp>
      <tp t="s">
        <v>#N/A Requesting Data...1482584045</v>
        <stp/>
        <stp>BDP|4416732209974661070</stp>
        <tr r="C3" s="2"/>
      </tp>
      <tp t="s">
        <v>#N/A Requesting Data...3649655435</v>
        <stp/>
        <stp>BDP|1556363022767944070</stp>
        <tr r="E5" s="2"/>
      </tp>
      <tp t="s">
        <v>#N/A N/A</v>
        <stp/>
        <stp>BDH|3876044929214767232</stp>
        <tr r="AO2" s="1"/>
      </tp>
      <tp t="s">
        <v>#N/A N/A</v>
        <stp/>
        <stp>BDP|6982067804198913944</stp>
        <tr r="C18" s="2"/>
      </tp>
      <tp t="s">
        <v>#N/A N/A</v>
        <stp/>
        <stp>BDP|2178647676472538619</stp>
        <tr r="D30" s="2"/>
      </tp>
      <tp t="s">
        <v>#N/A N/A</v>
        <stp/>
        <stp>BDH|6867061598789942184</stp>
        <tr r="AK2" s="1"/>
      </tp>
      <tp t="s">
        <v>#N/A N/A</v>
        <stp/>
        <stp>BDP|4730085743955632525</stp>
        <tr r="C28" s="2"/>
      </tp>
      <tp t="s">
        <v>#N/A N/A</v>
        <stp/>
        <stp>BDP|9725625295341390746</stp>
        <tr r="E7" s="2"/>
      </tp>
      <tp t="s">
        <v>#N/A N/A</v>
        <stp/>
        <stp>BDH|2314764507007688239</stp>
        <tr r="K2" s="1"/>
      </tp>
      <tp t="s">
        <v>#N/A N/A</v>
        <stp/>
        <stp>BDP|1687321616412474132</stp>
        <tr r="C27" s="2"/>
      </tp>
      <tp t="s">
        <v>#N/A Requesting Data...958456580</v>
        <stp/>
        <stp>BDP|2760334409451155174</stp>
        <tr r="D4" s="2"/>
      </tp>
      <tp t="s">
        <v>#N/A N/A</v>
        <stp/>
        <stp>BDP|7079546347042210526</stp>
        <tr r="D7" s="2"/>
      </tp>
      <tp t="s">
        <v>#N/A N/A</v>
        <stp/>
        <stp>BDP|1319019690108091137</stp>
        <tr r="C34" s="2"/>
      </tp>
      <tp t="s">
        <v>#N/A N/A</v>
        <stp/>
        <stp>BDH|3025935299525398788</stp>
        <tr r="AY2" s="1"/>
      </tp>
      <tp t="s">
        <v>#N/A N/A</v>
        <stp/>
        <stp>BDP|6820181852778719858</stp>
        <tr r="D20" s="2"/>
      </tp>
      <tp t="s">
        <v>#N/A N/A</v>
        <stp/>
        <stp>BDH|3630257292483171910</stp>
        <tr r="AA2" s="1"/>
      </tp>
      <tp t="s">
        <v>#N/A N/A</v>
        <stp/>
        <stp>BDP|8504438692413907495</stp>
        <tr r="E34" s="2"/>
      </tp>
      <tp t="s">
        <v>#N/A N/A</v>
        <stp/>
        <stp>BDP|4567806231488063500</stp>
        <tr r="D28" s="2"/>
      </tp>
      <tp t="s">
        <v>#N/A N/A</v>
        <stp/>
        <stp>BDP|8613543631089557495</stp>
        <tr r="D29" s="2"/>
      </tp>
      <tp t="s">
        <v>#N/A N/A</v>
        <stp/>
        <stp>BDP|7166646443360046644</stp>
        <tr r="E8" s="2"/>
      </tp>
      <tp t="s">
        <v>#N/A N/A</v>
        <stp/>
        <stp>BDP|5026360111881045527</stp>
        <tr r="E21" s="2"/>
      </tp>
      <tp t="s">
        <v>#N/A N/A</v>
        <stp/>
        <stp>BDH|8696931814556069542</stp>
        <tr r="S2" s="1"/>
      </tp>
      <tp t="s">
        <v>#N/A N/A</v>
        <stp/>
        <stp>BDP|76172210926774317</stp>
        <tr r="E12" s="2"/>
      </tp>
      <tp t="s">
        <v>#N/A N/A</v>
        <stp/>
        <stp>BDP|853557991102862969</stp>
        <tr r="D13" s="2"/>
      </tp>
      <tp t="s">
        <v>#N/A N/A</v>
        <stp/>
        <stp>BDP|271226176826233368</stp>
        <tr r="E15" s="2"/>
      </tp>
      <tp t="s">
        <v>#N/A N/A</v>
        <stp/>
        <stp>BDH|719402482913983278</stp>
        <tr r="G2" s="1"/>
      </tp>
      <tp t="s">
        <v>#N/A N/A</v>
        <stp/>
        <stp>BDP|220650094997260777</stp>
        <tr r="E35" s="2"/>
      </tp>
      <tp t="s">
        <v>#N/A N/A</v>
        <stp/>
        <stp>BDP|943227391702898010</stp>
        <tr r="C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2FF6-1243-494C-B2FA-DBAEE3C9B174}">
  <sheetPr codeName="Sheet1"/>
  <dimension ref="A1:BP315"/>
  <sheetViews>
    <sheetView tabSelected="1" topLeftCell="AZ1" workbookViewId="0">
      <selection activeCell="BO2" sqref="BO2"/>
    </sheetView>
  </sheetViews>
  <sheetFormatPr defaultRowHeight="15" x14ac:dyDescent="0.25"/>
  <cols>
    <col min="1" max="1" width="10.42578125" style="2" bestFit="1" customWidth="1"/>
    <col min="2" max="2" width="14.7109375" style="2" bestFit="1" customWidth="1"/>
    <col min="3" max="3" width="10.42578125" style="2" bestFit="1" customWidth="1"/>
    <col min="4" max="4" width="12.42578125" style="2" bestFit="1" customWidth="1"/>
    <col min="5" max="5" width="10.42578125" style="2" bestFit="1" customWidth="1"/>
    <col min="6" max="6" width="13.85546875" style="2" bestFit="1" customWidth="1"/>
    <col min="7" max="7" width="10.42578125" style="2" bestFit="1" customWidth="1"/>
    <col min="8" max="8" width="14.140625" style="2" bestFit="1" customWidth="1"/>
    <col min="9" max="9" width="10.42578125" style="2" bestFit="1" customWidth="1"/>
    <col min="10" max="10" width="12.42578125" style="2" bestFit="1" customWidth="1"/>
    <col min="11" max="11" width="10.42578125" style="2" bestFit="1" customWidth="1"/>
    <col min="12" max="12" width="12.5703125" style="2" bestFit="1" customWidth="1"/>
    <col min="13" max="13" width="10.42578125" style="2" bestFit="1" customWidth="1"/>
    <col min="14" max="14" width="12.28515625" style="2" bestFit="1" customWidth="1"/>
    <col min="15" max="15" width="10.42578125" style="2" bestFit="1" customWidth="1"/>
    <col min="16" max="16" width="12.85546875" style="2" bestFit="1" customWidth="1"/>
    <col min="17" max="17" width="10.42578125" style="2" bestFit="1" customWidth="1"/>
    <col min="18" max="18" width="12.28515625" style="2" bestFit="1" customWidth="1"/>
    <col min="19" max="19" width="10.42578125" style="2" bestFit="1" customWidth="1"/>
    <col min="20" max="20" width="15.28515625" style="2" bestFit="1" customWidth="1"/>
    <col min="21" max="21" width="9.140625" style="2"/>
    <col min="22" max="22" width="14.85546875" style="2" bestFit="1" customWidth="1"/>
    <col min="23" max="56" width="9.140625" style="2"/>
    <col min="57" max="57" width="10.42578125" style="2" bestFit="1" customWidth="1"/>
    <col min="58" max="66" width="9.140625" style="2"/>
    <col min="67" max="67" width="10.42578125" style="2" bestFit="1" customWidth="1"/>
    <col min="68" max="16384" width="9.140625" style="2"/>
  </cols>
  <sheetData>
    <row r="1" spans="1:68" x14ac:dyDescent="0.25">
      <c r="B1" s="2" t="str" cm="1">
        <f t="array" ref="B1:BP1">_xlfn.TEXTSPLIT(_xlfn.TEXTJOIN(", ,",TRUE,metadata!B2:B49),",")</f>
        <v>NEIXCTAT Index</v>
      </c>
      <c r="C1" s="2" t="str">
        <v xml:space="preserve"> </v>
      </c>
      <c r="D1" s="2" t="str">
        <v>BSLFXC Index</v>
      </c>
      <c r="E1" s="2" t="str">
        <v xml:space="preserve"> </v>
      </c>
      <c r="F1" s="2" t="str">
        <v>FXCTG10 Index</v>
      </c>
      <c r="G1" s="2" t="str">
        <v xml:space="preserve"> </v>
      </c>
      <c r="H1" s="2" t="str">
        <v>FXCTEM8 Index</v>
      </c>
      <c r="I1" s="2" t="str">
        <v xml:space="preserve"> </v>
      </c>
      <c r="J1" s="2" t="str">
        <v>BSLXAT Index</v>
      </c>
      <c r="K1" s="2" t="str">
        <v xml:space="preserve"> </v>
      </c>
      <c r="L1" s="2" t="str">
        <v>BSLEQT Index</v>
      </c>
      <c r="M1" s="2" t="str">
        <v xml:space="preserve"> </v>
      </c>
      <c r="N1" s="2" t="str">
        <v>BSLBFT Index</v>
      </c>
      <c r="O1" s="2" t="str">
        <v xml:space="preserve"> </v>
      </c>
      <c r="P1" s="2" t="str">
        <v>BSLCMT Index</v>
      </c>
      <c r="Q1" s="2" t="str">
        <v xml:space="preserve"> </v>
      </c>
      <c r="R1" s="2" t="str">
        <v>BSLFXT Index</v>
      </c>
      <c r="S1" s="2" t="str">
        <v xml:space="preserve"> </v>
      </c>
      <c r="T1" s="2" t="str">
        <v>LEGATRUH Index</v>
      </c>
      <c r="U1" s="2" t="str">
        <v xml:space="preserve"> </v>
      </c>
      <c r="V1" s="2" t="str">
        <v>LF94TRUU Index</v>
      </c>
      <c r="W1" s="2" t="str">
        <v xml:space="preserve"> </v>
      </c>
      <c r="X1" s="2" t="str">
        <v>LUMSTRUU Index</v>
      </c>
      <c r="Y1" s="2" t="str">
        <v xml:space="preserve"> </v>
      </c>
      <c r="Z1" s="2" t="str">
        <v>USYC2Y10 Index</v>
      </c>
      <c r="AA1" s="2" t="str">
        <v xml:space="preserve"> </v>
      </c>
      <c r="AB1" s="2" t="str">
        <v>BERYTR Index</v>
      </c>
      <c r="AC1" s="2" t="str">
        <v xml:space="preserve"> </v>
      </c>
      <c r="AD1" s="2" t="str">
        <v>BCOMRS Index</v>
      </c>
      <c r="AE1" s="2" t="str">
        <v xml:space="preserve"> </v>
      </c>
      <c r="AF1" s="2" t="str">
        <v>BERYALT Index</v>
      </c>
      <c r="AG1" s="2" t="str">
        <v xml:space="preserve"> </v>
      </c>
      <c r="AH1" s="2" t="str">
        <v>BERYENT Index</v>
      </c>
      <c r="AI1" s="2" t="str">
        <v xml:space="preserve"> </v>
      </c>
      <c r="AJ1" s="2" t="str">
        <v>BERYPRT Index</v>
      </c>
      <c r="AK1" s="2" t="str">
        <v xml:space="preserve"> </v>
      </c>
      <c r="AL1" s="2" t="str">
        <v>M1WO Index</v>
      </c>
      <c r="AM1" s="2" t="str">
        <v xml:space="preserve"> </v>
      </c>
      <c r="AN1" s="2" t="str">
        <v>M1WOQU Index</v>
      </c>
      <c r="AO1" s="2" t="str">
        <v xml:space="preserve"> </v>
      </c>
      <c r="AP1" s="2" t="str">
        <v>M1WOMVOL Index</v>
      </c>
      <c r="AQ1" s="2" t="str">
        <v xml:space="preserve"> </v>
      </c>
      <c r="AR1" s="2" t="str">
        <v>M1WOMOM Index</v>
      </c>
      <c r="AS1" s="2" t="str">
        <v xml:space="preserve"> </v>
      </c>
      <c r="AT1" s="2" t="str">
        <v>M1WO000V Index</v>
      </c>
      <c r="AU1" s="2" t="str">
        <v xml:space="preserve"> </v>
      </c>
      <c r="AV1" s="2" t="str">
        <v>M1WO000G Index</v>
      </c>
      <c r="AW1" s="2" t="str">
        <v xml:space="preserve"> </v>
      </c>
      <c r="AX1" s="2" t="str">
        <v>SPRP10T Index</v>
      </c>
      <c r="AY1" s="2" t="str">
        <v xml:space="preserve"> </v>
      </c>
      <c r="AZ1" s="2" t="str">
        <v>SPLPEQTY Index</v>
      </c>
      <c r="BA1" s="2" t="str">
        <v xml:space="preserve"> </v>
      </c>
      <c r="BB1" s="2" t="str">
        <v>BHVOLA Index</v>
      </c>
      <c r="BC1" s="2" t="str">
        <v xml:space="preserve"> </v>
      </c>
      <c r="BD1" s="2" t="str">
        <v>LUCROAS Index</v>
      </c>
      <c r="BE1" s="2" t="str">
        <v xml:space="preserve"> </v>
      </c>
      <c r="BF1" s="2" t="str">
        <v>USYC5Y10 Index</v>
      </c>
      <c r="BG1" s="2" t="str">
        <v xml:space="preserve"> </v>
      </c>
      <c r="BH1" s="2" t="str">
        <v>USYC3M10 Index</v>
      </c>
      <c r="BI1" s="2" t="str">
        <v xml:space="preserve"> </v>
      </c>
      <c r="BJ1" s="2" t="str">
        <v>USYC5Y30 Index</v>
      </c>
      <c r="BK1" s="2" t="str">
        <v xml:space="preserve"> </v>
      </c>
      <c r="BL1" s="2" t="str">
        <v>SBWGU Index</v>
      </c>
      <c r="BM1" s="2" t="str">
        <v xml:space="preserve"> </v>
      </c>
      <c r="BN1" s="2" t="str">
        <v>MXWOGVST Index</v>
      </c>
      <c r="BO1" s="2" t="str">
        <v xml:space="preserve"> </v>
      </c>
      <c r="BP1" s="2" t="str">
        <v>VPN Index</v>
      </c>
    </row>
    <row r="2" spans="1:68" x14ac:dyDescent="0.25">
      <c r="A2" s="1">
        <f>_xll.BDH(B1, "PX_LAST", "1/1/2000", "2/3/2026", "Period", "M","cols=2;rows=314")</f>
        <v>36556</v>
      </c>
      <c r="B2" s="2">
        <v>1019.7140000000001</v>
      </c>
      <c r="C2" s="1">
        <f>_xll.BDH(D1, "PX_LAST", "1/1/2000", "2/3/2026", "Period", "M","cols=2;rows=314")</f>
        <v>36556</v>
      </c>
      <c r="D2" s="2">
        <v>103.87860000000001</v>
      </c>
      <c r="E2" s="1">
        <f>_xll.BDH(F1, "PX_LAST", "1/1/2000", "2/3/2026", "Period", "M","cols=2;rows=314")</f>
        <v>36556</v>
      </c>
      <c r="F2" s="2">
        <v>111.411</v>
      </c>
      <c r="G2" s="1">
        <f>_xll.BDH(H1, "PX_LAST", "1/1/2000", "2/3/2026", "Period", "M","cols=2;rows=314")</f>
        <v>36556</v>
      </c>
      <c r="H2" s="2">
        <v>112.93389999999999</v>
      </c>
      <c r="I2" s="1">
        <f>_xll.BDH(J1, "PX_LAST", "1/1/2000", "2/3/2026", "Period", "M","cols=2;rows=313")</f>
        <v>36585</v>
      </c>
      <c r="J2" s="2">
        <v>100.2183</v>
      </c>
      <c r="K2" s="1">
        <f>_xll.BDH(L1, "PX_LAST", "1/1/2000", "2/3/2026", "Period", "M","cols=2;rows=314")</f>
        <v>36556</v>
      </c>
      <c r="L2" s="2">
        <v>100.8417</v>
      </c>
      <c r="M2" s="1">
        <f>_xll.BDH(N1, "PX_LAST", "1/1/2000", "2/3/2026", "Period", "M","cols=2;rows=314")</f>
        <v>36556</v>
      </c>
      <c r="N2" s="2">
        <v>100.70350000000001</v>
      </c>
      <c r="O2" s="1">
        <f>_xll.BDH(P1, "PX_LAST", "1/1/2000", "2/3/2026", "Period", "M","cols=2;rows=313")</f>
        <v>36585</v>
      </c>
      <c r="P2" s="2">
        <v>100.2514</v>
      </c>
      <c r="Q2" s="1">
        <f>_xll.BDH(R1, "PX_LAST", "1/1/2000", "2/3/2026", "Period", "M","cols=2;rows=314")</f>
        <v>36556</v>
      </c>
      <c r="R2" s="2">
        <v>101.1293</v>
      </c>
      <c r="S2" s="1">
        <f>_xll.BDH(T1, "PX_LAST", "1/1/2000", "2/3/2026", "Period", "M","cols=2;rows=314")</f>
        <v>36556</v>
      </c>
      <c r="T2" s="2">
        <v>216.23089999999999</v>
      </c>
      <c r="U2" s="1">
        <f>_xll.BDH(V1, "PX_LAST", "1/1/2000", "2/3/2026", "Period", "M","cols=2;rows=314")</f>
        <v>36556</v>
      </c>
      <c r="V2" s="2">
        <v>122.32810000000001</v>
      </c>
      <c r="W2" s="1">
        <f>_xll.BDH(X1, "PX_LAST", "1/1/2000", "2/3/2026", "Period", "M","cols=2;rows=314")</f>
        <v>36556</v>
      </c>
      <c r="X2" s="2">
        <v>869.49</v>
      </c>
      <c r="Y2" s="1">
        <f>_xll.BDH(Z1, "PX_LAST", "1/1/2000", "2/3/2026", "Period", "M","cols=2;rows=314")</f>
        <v>36556</v>
      </c>
      <c r="Z2" s="2">
        <v>9.0500000000000007</v>
      </c>
      <c r="AA2" s="1">
        <f>_xll.BDH(AB1, "PX_LAST", "1/1/2000", "2/3/2026", "Period", "M","cols=2;rows=302")</f>
        <v>36922</v>
      </c>
      <c r="AB2" s="2">
        <v>100</v>
      </c>
      <c r="AC2" s="1">
        <f>_xll.BDH(AD1, "PX_LAST", "1/1/2000", "2/3/2026", "Period", "M","cols=2;rows=314")</f>
        <v>36556</v>
      </c>
      <c r="AD2" s="2">
        <v>114.62479999999999</v>
      </c>
      <c r="AE2" s="1">
        <f>_xll.BDH(AF1, "PX_LAST", "1/1/2000", "2/3/2026", "Period", "M","cols=2;rows=302")</f>
        <v>36922</v>
      </c>
      <c r="AF2" s="2">
        <v>100</v>
      </c>
      <c r="AG2" s="1">
        <f>_xll.BDH(AH1, "PX_LAST", "1/1/2000", "2/3/2026", "Period", "M","cols=2;rows=302")</f>
        <v>36922</v>
      </c>
      <c r="AH2" s="2">
        <v>100</v>
      </c>
      <c r="AI2" s="1">
        <f>_xll.BDH(AJ1, "PX_LAST", "1/1/2000", "2/3/2026", "Period", "M","cols=2;rows=302")</f>
        <v>36922</v>
      </c>
      <c r="AJ2" s="2">
        <v>100</v>
      </c>
      <c r="AK2" s="1">
        <f>_xll.BDH(AL1, "PX_LAST", "1/1/2000", "2/3/2026", "Period", "M","cols=2;rows=314")</f>
        <v>36556</v>
      </c>
      <c r="AL2" s="2">
        <v>2700.79</v>
      </c>
      <c r="AM2" s="1">
        <f>_xll.BDH(AN1, "PX_LAST", "1/1/2000", "2/3/2026", "Period", "M","cols=2;rows=314")</f>
        <v>36556</v>
      </c>
      <c r="AN2" s="2">
        <v>712.38</v>
      </c>
      <c r="AO2" s="1">
        <f>_xll.BDH(AP1, "PX_LAST", "1/1/2000", "2/3/2026", "Period", "M","cols=2;rows=314")</f>
        <v>36556</v>
      </c>
      <c r="AP2" s="2">
        <v>1023.68</v>
      </c>
      <c r="AQ2" s="1">
        <f>_xll.BDH(AR1, "PX_LAST", "1/1/2000", "2/3/2026", "Period", "M","cols=2;rows=314")</f>
        <v>36556</v>
      </c>
      <c r="AR2" s="2">
        <v>718.2</v>
      </c>
      <c r="AS2" s="1">
        <f>_xll.BDH(AT1, "PX_LAST", "1/1/2000", "2/3/2026", "Period", "M","cols=2;rows=314")</f>
        <v>36556</v>
      </c>
      <c r="AT2" s="2">
        <v>3674.92</v>
      </c>
      <c r="AU2" s="1">
        <f>_xll.BDH(AV1, "PX_LAST", "1/1/2000", "2/3/2026", "Period", "M","cols=2;rows=314")</f>
        <v>36556</v>
      </c>
      <c r="AV2" s="2">
        <v>2533.0100000000002</v>
      </c>
      <c r="AW2" s="1">
        <f>_xll.BDH(AX1, "PX_LAST", "1/1/2000", "2/3/2026", "Period", "M","cols=2;rows=266")</f>
        <v>38016</v>
      </c>
      <c r="AX2" s="2">
        <v>1284.8</v>
      </c>
      <c r="AY2" s="1">
        <f>_xll.BDH(AZ1, "PX_LAST", "1/1/2000", "2/3/2026", "Period", "M","cols=2;rows=268")</f>
        <v>37953</v>
      </c>
      <c r="AZ2" s="2">
        <v>103.36</v>
      </c>
      <c r="BA2" s="1">
        <f>_xll.BDH(BB1, "PX_LAST", "1/1/2000", "2/3/2026", "Period", "M","cols=2;rows=146")</f>
        <v>41639</v>
      </c>
      <c r="BB2" s="2">
        <v>1000</v>
      </c>
      <c r="BC2" s="1">
        <f>_xll.BDH(BD1, "PX_LAST", "1/1/2000", "2/3/2026", "Period", "M","cols=2;rows=314")</f>
        <v>36556</v>
      </c>
      <c r="BD2" s="2">
        <v>1.1499999999999999</v>
      </c>
      <c r="BE2" s="1">
        <f>_xll.BDH(BF1, "PX_LAST", "1/1/2000", "2/3/2026", "Period", "M","cols=2;rows=314")</f>
        <v>36556</v>
      </c>
      <c r="BF2" s="2">
        <v>-0.65</v>
      </c>
      <c r="BG2" s="1">
        <f>_xll.BDH(BH1, "PX_LAST", "1/1/2000", "2/3/2026", "Period", "M","cols=2;rows=314")</f>
        <v>36556</v>
      </c>
      <c r="BH2" s="2">
        <v>95.65</v>
      </c>
      <c r="BI2" s="1">
        <f>_xll.BDH(BJ1, "PX_LAST", "1/1/2000", "2/3/2026", "Period", "M","cols=2;rows=314")</f>
        <v>36556</v>
      </c>
      <c r="BJ2" s="2">
        <v>-21.9</v>
      </c>
      <c r="BK2" s="1">
        <f>_xll.BDH(BL1, "PX_LAST", "1/1/2000", "2/3/2026", "Period", "M","cols=2;rows=314")</f>
        <v>36556</v>
      </c>
      <c r="BL2" s="2">
        <v>427.7681</v>
      </c>
      <c r="BM2" s="1">
        <f>_xll.BDH(BN1, "PX_LAST", "1/1/2000", "2/3/2026", "Period", "M","cols=2;rows=264")</f>
        <v>38077</v>
      </c>
      <c r="BN2" s="2">
        <v>990.19299999999998</v>
      </c>
      <c r="BO2" s="1">
        <f>_xll.BDH(BP1, "PX_LAST", "1/1/2000", "2/3/2026", "Period", "M","cols=2;rows=261")</f>
        <v>38168</v>
      </c>
      <c r="BP2" s="2">
        <v>101.81</v>
      </c>
    </row>
    <row r="3" spans="1:68" x14ac:dyDescent="0.25">
      <c r="A3" s="1">
        <v>36585</v>
      </c>
      <c r="B3" s="2">
        <v>995.21</v>
      </c>
      <c r="C3" s="1">
        <v>36585</v>
      </c>
      <c r="D3" s="2">
        <v>105.411</v>
      </c>
      <c r="E3" s="1">
        <v>36585</v>
      </c>
      <c r="F3" s="2">
        <v>112.001</v>
      </c>
      <c r="G3" s="1">
        <v>36585</v>
      </c>
      <c r="H3" s="2">
        <v>113.96380000000001</v>
      </c>
      <c r="I3" s="1">
        <v>36616</v>
      </c>
      <c r="J3" s="2">
        <v>99.724100000000007</v>
      </c>
      <c r="K3" s="1">
        <v>36585</v>
      </c>
      <c r="L3" s="2">
        <v>103.07040000000001</v>
      </c>
      <c r="M3" s="1">
        <v>36585</v>
      </c>
      <c r="N3" s="2">
        <v>98.582499999999996</v>
      </c>
      <c r="O3" s="1">
        <v>36616</v>
      </c>
      <c r="P3" s="2">
        <v>99.737499999999997</v>
      </c>
      <c r="Q3" s="1">
        <v>36585</v>
      </c>
      <c r="R3" s="2">
        <v>101.73439999999999</v>
      </c>
      <c r="S3" s="1">
        <v>36585</v>
      </c>
      <c r="T3" s="2">
        <v>218.28739999999999</v>
      </c>
      <c r="U3" s="1">
        <v>36585</v>
      </c>
      <c r="V3" s="2">
        <v>122.00190000000001</v>
      </c>
      <c r="W3" s="1">
        <v>36585</v>
      </c>
      <c r="X3" s="2">
        <v>879.57</v>
      </c>
      <c r="Y3" s="1">
        <v>36585</v>
      </c>
      <c r="Z3" s="2">
        <v>-9.5</v>
      </c>
      <c r="AA3" s="1">
        <v>36950</v>
      </c>
      <c r="AB3" s="2">
        <v>99.684299999999993</v>
      </c>
      <c r="AC3" s="1">
        <v>36585</v>
      </c>
      <c r="AD3" s="2">
        <v>116.11279999999999</v>
      </c>
      <c r="AE3" s="1">
        <v>36950</v>
      </c>
      <c r="AF3" s="2">
        <v>99.461100000000002</v>
      </c>
      <c r="AG3" s="1">
        <v>36950</v>
      </c>
      <c r="AH3" s="2">
        <v>102.20699999999999</v>
      </c>
      <c r="AI3" s="1">
        <v>36950</v>
      </c>
      <c r="AJ3" s="2">
        <v>97.588099999999997</v>
      </c>
      <c r="AK3" s="1">
        <v>36585</v>
      </c>
      <c r="AL3" s="2">
        <v>2707.75</v>
      </c>
      <c r="AM3" s="1">
        <v>36585</v>
      </c>
      <c r="AN3" s="2">
        <v>719.55</v>
      </c>
      <c r="AO3" s="1">
        <v>36585</v>
      </c>
      <c r="AP3" s="2">
        <v>991.33</v>
      </c>
      <c r="AQ3" s="1">
        <v>36585</v>
      </c>
      <c r="AR3" s="2">
        <v>777.64</v>
      </c>
      <c r="AS3" s="1">
        <v>36585</v>
      </c>
      <c r="AT3" s="2">
        <v>3547.35</v>
      </c>
      <c r="AU3" s="1">
        <v>36585</v>
      </c>
      <c r="AV3" s="2">
        <v>2620.83</v>
      </c>
      <c r="AW3" s="1">
        <v>38044</v>
      </c>
      <c r="AX3" s="2">
        <v>1369.25</v>
      </c>
      <c r="AY3" s="1">
        <v>37986</v>
      </c>
      <c r="AZ3" s="2">
        <v>105.99</v>
      </c>
      <c r="BA3" s="1">
        <v>41670</v>
      </c>
      <c r="BB3" s="2">
        <v>996.8</v>
      </c>
      <c r="BC3" s="1">
        <v>36585</v>
      </c>
      <c r="BD3" s="2">
        <v>1.22</v>
      </c>
      <c r="BE3" s="1">
        <v>36585</v>
      </c>
      <c r="BF3" s="2">
        <v>-16.2</v>
      </c>
      <c r="BG3" s="1">
        <v>36585</v>
      </c>
      <c r="BH3" s="2">
        <v>63.9</v>
      </c>
      <c r="BI3" s="1">
        <v>36585</v>
      </c>
      <c r="BJ3" s="2">
        <v>-38.4</v>
      </c>
      <c r="BK3" s="1">
        <v>36585</v>
      </c>
      <c r="BL3" s="2">
        <v>424.69850000000002</v>
      </c>
      <c r="BM3" s="1">
        <v>38107</v>
      </c>
      <c r="BN3" s="2">
        <v>970.46990000000005</v>
      </c>
      <c r="BO3" s="1">
        <v>38198</v>
      </c>
      <c r="BP3" s="2">
        <v>106.52</v>
      </c>
    </row>
    <row r="4" spans="1:68" x14ac:dyDescent="0.25">
      <c r="A4" s="1">
        <v>36616</v>
      </c>
      <c r="B4" s="2">
        <v>965.08299999999997</v>
      </c>
      <c r="C4" s="1">
        <v>36616</v>
      </c>
      <c r="D4" s="2">
        <v>104.05889999999999</v>
      </c>
      <c r="E4" s="1">
        <v>36616</v>
      </c>
      <c r="F4" s="2">
        <v>110.283</v>
      </c>
      <c r="G4" s="1">
        <v>36616</v>
      </c>
      <c r="H4" s="2">
        <v>114.1168</v>
      </c>
      <c r="I4" s="1">
        <v>36644</v>
      </c>
      <c r="J4" s="2">
        <v>99.912499999999994</v>
      </c>
      <c r="K4" s="1">
        <v>36616</v>
      </c>
      <c r="L4" s="2">
        <v>102.30119999999999</v>
      </c>
      <c r="M4" s="1">
        <v>36616</v>
      </c>
      <c r="N4" s="2">
        <v>97.240600000000001</v>
      </c>
      <c r="O4" s="1">
        <v>36644</v>
      </c>
      <c r="P4" s="2">
        <v>99.816999999999993</v>
      </c>
      <c r="Q4" s="1">
        <v>36616</v>
      </c>
      <c r="R4" s="2">
        <v>102.117</v>
      </c>
      <c r="S4" s="1">
        <v>36616</v>
      </c>
      <c r="T4" s="2">
        <v>221.1969</v>
      </c>
      <c r="U4" s="1">
        <v>36616</v>
      </c>
      <c r="V4" s="2">
        <v>124.63939999999999</v>
      </c>
      <c r="W4" s="1">
        <v>36616</v>
      </c>
      <c r="X4" s="2">
        <v>889.19</v>
      </c>
      <c r="Y4" s="1">
        <v>36616</v>
      </c>
      <c r="Z4" s="2">
        <v>-41.45</v>
      </c>
      <c r="AA4" s="1">
        <v>36980</v>
      </c>
      <c r="AB4" s="2">
        <v>95.917599999999993</v>
      </c>
      <c r="AC4" s="1">
        <v>36616</v>
      </c>
      <c r="AD4" s="2">
        <v>116.4893</v>
      </c>
      <c r="AE4" s="1">
        <v>36980</v>
      </c>
      <c r="AF4" s="2">
        <v>94.072900000000004</v>
      </c>
      <c r="AG4" s="1">
        <v>36980</v>
      </c>
      <c r="AH4" s="2">
        <v>101.1093</v>
      </c>
      <c r="AI4" s="1">
        <v>36980</v>
      </c>
      <c r="AJ4" s="2">
        <v>93.749300000000005</v>
      </c>
      <c r="AK4" s="1">
        <v>36616</v>
      </c>
      <c r="AL4" s="2">
        <v>2894.57</v>
      </c>
      <c r="AM4" s="1">
        <v>36616</v>
      </c>
      <c r="AN4" s="2">
        <v>771.75</v>
      </c>
      <c r="AO4" s="1">
        <v>36616</v>
      </c>
      <c r="AP4" s="2">
        <v>1055.3699999999999</v>
      </c>
      <c r="AQ4" s="1">
        <v>36616</v>
      </c>
      <c r="AR4" s="2">
        <v>806.06</v>
      </c>
      <c r="AS4" s="1">
        <v>36616</v>
      </c>
      <c r="AT4" s="2">
        <v>3833.15</v>
      </c>
      <c r="AU4" s="1">
        <v>36616</v>
      </c>
      <c r="AV4" s="2">
        <v>2776.79</v>
      </c>
      <c r="AW4" s="1">
        <v>38077</v>
      </c>
      <c r="AX4" s="2">
        <v>1414.8</v>
      </c>
      <c r="AY4" s="1">
        <v>38016</v>
      </c>
      <c r="AZ4" s="2">
        <v>112.92</v>
      </c>
      <c r="BA4" s="1">
        <v>41698</v>
      </c>
      <c r="BB4" s="2">
        <v>1022.96</v>
      </c>
      <c r="BC4" s="1">
        <v>36616</v>
      </c>
      <c r="BD4" s="2">
        <v>1.46</v>
      </c>
      <c r="BE4" s="1">
        <v>36616</v>
      </c>
      <c r="BF4" s="2">
        <v>-25.8</v>
      </c>
      <c r="BG4" s="1">
        <v>36616</v>
      </c>
      <c r="BH4" s="2">
        <v>15.5</v>
      </c>
      <c r="BI4" s="1">
        <v>36616</v>
      </c>
      <c r="BJ4" s="2">
        <v>-38.4</v>
      </c>
      <c r="BK4" s="1">
        <v>36616</v>
      </c>
      <c r="BL4" s="2">
        <v>437.84829999999999</v>
      </c>
      <c r="BM4" s="1">
        <v>38138</v>
      </c>
      <c r="BN4" s="2">
        <v>980.62239999999997</v>
      </c>
      <c r="BO4" s="1">
        <v>38230</v>
      </c>
      <c r="BP4" s="2">
        <v>108.03</v>
      </c>
    </row>
    <row r="5" spans="1:68" x14ac:dyDescent="0.25">
      <c r="A5" s="1">
        <v>36644</v>
      </c>
      <c r="B5" s="2">
        <v>932.27700000000004</v>
      </c>
      <c r="C5" s="1">
        <v>36644</v>
      </c>
      <c r="D5" s="2">
        <v>104.9472</v>
      </c>
      <c r="E5" s="1">
        <v>36644</v>
      </c>
      <c r="F5" s="2">
        <v>112.581</v>
      </c>
      <c r="G5" s="1">
        <v>36644</v>
      </c>
      <c r="H5" s="2">
        <v>110.7508</v>
      </c>
      <c r="I5" s="1">
        <v>36677</v>
      </c>
      <c r="J5" s="2">
        <v>99.946299999999994</v>
      </c>
      <c r="K5" s="1">
        <v>36644</v>
      </c>
      <c r="L5" s="2">
        <v>101.1567</v>
      </c>
      <c r="M5" s="1">
        <v>36644</v>
      </c>
      <c r="N5" s="2">
        <v>97.131</v>
      </c>
      <c r="O5" s="1">
        <v>36677</v>
      </c>
      <c r="P5" s="2">
        <v>100.0081</v>
      </c>
      <c r="Q5" s="1">
        <v>36644</v>
      </c>
      <c r="R5" s="2">
        <v>103.8454</v>
      </c>
      <c r="S5" s="1">
        <v>36644</v>
      </c>
      <c r="T5" s="2">
        <v>221.39080000000001</v>
      </c>
      <c r="U5" s="1">
        <v>36644</v>
      </c>
      <c r="V5" s="2">
        <v>124.358</v>
      </c>
      <c r="W5" s="1">
        <v>36644</v>
      </c>
      <c r="X5" s="2">
        <v>889.8</v>
      </c>
      <c r="Y5" s="1">
        <v>36644</v>
      </c>
      <c r="Z5" s="2">
        <v>-50.7</v>
      </c>
      <c r="AA5" s="1">
        <v>37011</v>
      </c>
      <c r="AB5" s="2">
        <v>99.844300000000004</v>
      </c>
      <c r="AC5" s="1">
        <v>36644</v>
      </c>
      <c r="AD5" s="2">
        <v>114.3049</v>
      </c>
      <c r="AE5" s="1">
        <v>37011</v>
      </c>
      <c r="AF5" s="2">
        <v>95.967799999999997</v>
      </c>
      <c r="AG5" s="1">
        <v>37011</v>
      </c>
      <c r="AH5" s="2">
        <v>108.7924</v>
      </c>
      <c r="AI5" s="1">
        <v>37011</v>
      </c>
      <c r="AJ5" s="2">
        <v>95.357900000000001</v>
      </c>
      <c r="AK5" s="1">
        <v>36644</v>
      </c>
      <c r="AL5" s="2">
        <v>2771.85</v>
      </c>
      <c r="AM5" s="1">
        <v>36644</v>
      </c>
      <c r="AN5" s="2">
        <v>747.87</v>
      </c>
      <c r="AO5" s="1">
        <v>36644</v>
      </c>
      <c r="AP5" s="2">
        <v>1040.1300000000001</v>
      </c>
      <c r="AQ5" s="1">
        <v>36644</v>
      </c>
      <c r="AR5" s="2">
        <v>748.27</v>
      </c>
      <c r="AS5" s="1">
        <v>36644</v>
      </c>
      <c r="AT5" s="2">
        <v>3766.91</v>
      </c>
      <c r="AU5" s="1">
        <v>36644</v>
      </c>
      <c r="AV5" s="2">
        <v>2590.3200000000002</v>
      </c>
      <c r="AW5" s="1">
        <v>38107</v>
      </c>
      <c r="AX5" s="2">
        <v>1344.83</v>
      </c>
      <c r="AY5" s="1">
        <v>38044</v>
      </c>
      <c r="AZ5" s="2">
        <v>114.82</v>
      </c>
      <c r="BA5" s="1">
        <v>41729</v>
      </c>
      <c r="BB5" s="2">
        <v>1017.41</v>
      </c>
      <c r="BC5" s="1">
        <v>36644</v>
      </c>
      <c r="BD5" s="2">
        <v>1.56</v>
      </c>
      <c r="BE5" s="1">
        <v>36644</v>
      </c>
      <c r="BF5" s="2">
        <v>-37.5</v>
      </c>
      <c r="BG5" s="1">
        <v>36644</v>
      </c>
      <c r="BH5" s="2">
        <v>37.35</v>
      </c>
      <c r="BI5" s="1">
        <v>36644</v>
      </c>
      <c r="BJ5" s="2">
        <v>-60.2</v>
      </c>
      <c r="BK5" s="1">
        <v>36644</v>
      </c>
      <c r="BL5" s="2">
        <v>423.55130000000003</v>
      </c>
      <c r="BM5" s="1">
        <v>38168</v>
      </c>
      <c r="BN5" s="2">
        <v>993.91150000000005</v>
      </c>
      <c r="BO5" s="1">
        <v>38260</v>
      </c>
      <c r="BP5" s="2">
        <v>111.89</v>
      </c>
    </row>
    <row r="6" spans="1:68" x14ac:dyDescent="0.25">
      <c r="A6" s="1">
        <v>36677</v>
      </c>
      <c r="B6" s="2">
        <v>921.58199999999999</v>
      </c>
      <c r="C6" s="1">
        <v>36677</v>
      </c>
      <c r="D6" s="2">
        <v>102.70480000000001</v>
      </c>
      <c r="E6" s="1">
        <v>36677</v>
      </c>
      <c r="F6" s="2">
        <v>110.38200000000001</v>
      </c>
      <c r="G6" s="1">
        <v>36677</v>
      </c>
      <c r="H6" s="2">
        <v>110.3258</v>
      </c>
      <c r="I6" s="1">
        <v>36707</v>
      </c>
      <c r="J6" s="2">
        <v>99.606300000000005</v>
      </c>
      <c r="K6" s="1">
        <v>36677</v>
      </c>
      <c r="L6" s="2">
        <v>99.975700000000003</v>
      </c>
      <c r="M6" s="1">
        <v>36677</v>
      </c>
      <c r="N6" s="2">
        <v>96.709500000000006</v>
      </c>
      <c r="O6" s="1">
        <v>36707</v>
      </c>
      <c r="P6" s="2">
        <v>100.30110000000001</v>
      </c>
      <c r="Q6" s="1">
        <v>36677</v>
      </c>
      <c r="R6" s="2">
        <v>104.7349</v>
      </c>
      <c r="S6" s="1">
        <v>36677</v>
      </c>
      <c r="T6" s="2">
        <v>221.97280000000001</v>
      </c>
      <c r="U6" s="1">
        <v>36677</v>
      </c>
      <c r="V6" s="2">
        <v>121.331</v>
      </c>
      <c r="W6" s="1">
        <v>36677</v>
      </c>
      <c r="X6" s="2">
        <v>890.21</v>
      </c>
      <c r="Y6" s="1">
        <v>36677</v>
      </c>
      <c r="Z6" s="2">
        <v>-31.45</v>
      </c>
      <c r="AA6" s="1">
        <v>37042</v>
      </c>
      <c r="AB6" s="2">
        <v>98.472999999999999</v>
      </c>
      <c r="AC6" s="1">
        <v>36677</v>
      </c>
      <c r="AD6" s="2">
        <v>120.52070000000001</v>
      </c>
      <c r="AE6" s="1">
        <v>37042</v>
      </c>
      <c r="AF6" s="2">
        <v>94.547399999999996</v>
      </c>
      <c r="AG6" s="1">
        <v>37042</v>
      </c>
      <c r="AH6" s="2">
        <v>106.4665</v>
      </c>
      <c r="AI6" s="1">
        <v>37042</v>
      </c>
      <c r="AJ6" s="2">
        <v>96.380700000000004</v>
      </c>
      <c r="AK6" s="1">
        <v>36677</v>
      </c>
      <c r="AL6" s="2">
        <v>2701.34</v>
      </c>
      <c r="AM6" s="1">
        <v>36677</v>
      </c>
      <c r="AN6" s="2">
        <v>722.88</v>
      </c>
      <c r="AO6" s="1">
        <v>36677</v>
      </c>
      <c r="AP6" s="2">
        <v>1031.21</v>
      </c>
      <c r="AQ6" s="1">
        <v>36677</v>
      </c>
      <c r="AR6" s="2">
        <v>691.56</v>
      </c>
      <c r="AS6" s="1">
        <v>36677</v>
      </c>
      <c r="AT6" s="2">
        <v>3793.97</v>
      </c>
      <c r="AU6" s="1">
        <v>36677</v>
      </c>
      <c r="AV6" s="2">
        <v>2436.54</v>
      </c>
      <c r="AW6" s="1">
        <v>38138</v>
      </c>
      <c r="AX6" s="2">
        <v>1353</v>
      </c>
      <c r="AY6" s="1">
        <v>38077</v>
      </c>
      <c r="AZ6" s="2">
        <v>118.15</v>
      </c>
      <c r="BA6" s="1">
        <v>41759</v>
      </c>
      <c r="BB6" s="2">
        <v>1010.28</v>
      </c>
      <c r="BC6" s="1">
        <v>36677</v>
      </c>
      <c r="BD6" s="2">
        <v>1.65</v>
      </c>
      <c r="BE6" s="1">
        <v>36677</v>
      </c>
      <c r="BF6" s="2">
        <v>-15.75</v>
      </c>
      <c r="BG6" s="1">
        <v>36677</v>
      </c>
      <c r="BH6" s="2">
        <v>57.1</v>
      </c>
      <c r="BI6" s="1">
        <v>36677</v>
      </c>
      <c r="BJ6" s="2">
        <v>-33.75</v>
      </c>
      <c r="BK6" s="1">
        <v>36677</v>
      </c>
      <c r="BL6" s="2">
        <v>426.85079999999999</v>
      </c>
      <c r="BM6" s="1">
        <v>38198</v>
      </c>
      <c r="BN6" s="2">
        <v>946.23749999999995</v>
      </c>
      <c r="BO6" s="1">
        <v>38289</v>
      </c>
      <c r="BP6" s="2">
        <v>113.38</v>
      </c>
    </row>
    <row r="7" spans="1:68" x14ac:dyDescent="0.25">
      <c r="A7" s="1">
        <v>36707</v>
      </c>
      <c r="B7" s="2">
        <v>894.13599999999997</v>
      </c>
      <c r="C7" s="1">
        <v>36707</v>
      </c>
      <c r="D7" s="2">
        <v>102.9325</v>
      </c>
      <c r="E7" s="1">
        <v>36707</v>
      </c>
      <c r="F7" s="2">
        <v>110.74299999999999</v>
      </c>
      <c r="G7" s="1">
        <v>36707</v>
      </c>
      <c r="H7" s="2">
        <v>111.2398</v>
      </c>
      <c r="I7" s="1">
        <v>36738</v>
      </c>
      <c r="J7" s="2">
        <v>99.673400000000001</v>
      </c>
      <c r="K7" s="1">
        <v>36707</v>
      </c>
      <c r="L7" s="2">
        <v>99.5852</v>
      </c>
      <c r="M7" s="1">
        <v>36707</v>
      </c>
      <c r="N7" s="2">
        <v>96.1815</v>
      </c>
      <c r="O7" s="1">
        <v>36738</v>
      </c>
      <c r="P7" s="2">
        <v>99.992199999999997</v>
      </c>
      <c r="Q7" s="1">
        <v>36707</v>
      </c>
      <c r="R7" s="2">
        <v>102.8052</v>
      </c>
      <c r="S7" s="1">
        <v>36707</v>
      </c>
      <c r="T7" s="2">
        <v>224.733</v>
      </c>
      <c r="U7" s="1">
        <v>36707</v>
      </c>
      <c r="V7" s="2">
        <v>125.0795</v>
      </c>
      <c r="W7" s="1">
        <v>36707</v>
      </c>
      <c r="X7" s="2">
        <v>909.24</v>
      </c>
      <c r="Y7" s="1">
        <v>36707</v>
      </c>
      <c r="Z7" s="2">
        <v>-26.25</v>
      </c>
      <c r="AA7" s="1">
        <v>37071</v>
      </c>
      <c r="AB7" s="2">
        <v>95.057100000000005</v>
      </c>
      <c r="AC7" s="1">
        <v>36707</v>
      </c>
      <c r="AD7" s="2">
        <v>121.4949</v>
      </c>
      <c r="AE7" s="1">
        <v>37071</v>
      </c>
      <c r="AF7" s="2">
        <v>96.275400000000005</v>
      </c>
      <c r="AG7" s="1">
        <v>37071</v>
      </c>
      <c r="AH7" s="2">
        <v>97.987200000000001</v>
      </c>
      <c r="AI7" s="1">
        <v>37071</v>
      </c>
      <c r="AJ7" s="2">
        <v>96.793199999999999</v>
      </c>
      <c r="AK7" s="1">
        <v>36707</v>
      </c>
      <c r="AL7" s="2">
        <v>2791.97</v>
      </c>
      <c r="AM7" s="1">
        <v>36707</v>
      </c>
      <c r="AN7" s="2">
        <v>764.3</v>
      </c>
      <c r="AO7" s="1">
        <v>36707</v>
      </c>
      <c r="AP7" s="2">
        <v>1050.9000000000001</v>
      </c>
      <c r="AQ7" s="1">
        <v>36707</v>
      </c>
      <c r="AR7" s="2">
        <v>730.32</v>
      </c>
      <c r="AS7" s="1">
        <v>36707</v>
      </c>
      <c r="AT7" s="2">
        <v>3826.43</v>
      </c>
      <c r="AU7" s="1">
        <v>36707</v>
      </c>
      <c r="AV7" s="2">
        <v>2585.25</v>
      </c>
      <c r="AW7" s="1">
        <v>38168</v>
      </c>
      <c r="AX7" s="2">
        <v>1333.38</v>
      </c>
      <c r="AY7" s="1">
        <v>38107</v>
      </c>
      <c r="AZ7" s="2">
        <v>107.71</v>
      </c>
      <c r="BA7" s="1">
        <v>41789</v>
      </c>
      <c r="BB7" s="2">
        <v>1025.3599999999999</v>
      </c>
      <c r="BC7" s="1">
        <v>36707</v>
      </c>
      <c r="BD7" s="2">
        <v>1.59</v>
      </c>
      <c r="BE7" s="1">
        <v>36707</v>
      </c>
      <c r="BF7" s="2">
        <v>-9</v>
      </c>
      <c r="BG7" s="1">
        <v>36707</v>
      </c>
      <c r="BH7" s="2">
        <v>13.65</v>
      </c>
      <c r="BI7" s="1">
        <v>36707</v>
      </c>
      <c r="BJ7" s="2">
        <v>-24.65</v>
      </c>
      <c r="BK7" s="1">
        <v>36707</v>
      </c>
      <c r="BL7" s="2">
        <v>437.20409999999998</v>
      </c>
      <c r="BM7" s="1">
        <v>38230</v>
      </c>
      <c r="BN7" s="2">
        <v>943.26859999999999</v>
      </c>
      <c r="BO7" s="1">
        <v>38321</v>
      </c>
      <c r="BP7" s="2">
        <v>116.6</v>
      </c>
    </row>
    <row r="8" spans="1:68" x14ac:dyDescent="0.25">
      <c r="A8" s="1">
        <v>36738</v>
      </c>
      <c r="B8" s="2">
        <v>872.89300000000003</v>
      </c>
      <c r="C8" s="1">
        <v>36738</v>
      </c>
      <c r="D8" s="2">
        <v>104.91800000000001</v>
      </c>
      <c r="E8" s="1">
        <v>36738</v>
      </c>
      <c r="F8" s="2">
        <v>112.247</v>
      </c>
      <c r="G8" s="1">
        <v>36738</v>
      </c>
      <c r="H8" s="2">
        <v>111.6621</v>
      </c>
      <c r="I8" s="1">
        <v>36769</v>
      </c>
      <c r="J8" s="2">
        <v>100.50449999999999</v>
      </c>
      <c r="K8" s="1">
        <v>36738</v>
      </c>
      <c r="L8" s="2">
        <v>99.055099999999996</v>
      </c>
      <c r="M8" s="1">
        <v>36738</v>
      </c>
      <c r="N8" s="2">
        <v>96.492599999999996</v>
      </c>
      <c r="O8" s="1">
        <v>36769</v>
      </c>
      <c r="P8" s="2">
        <v>100.7431</v>
      </c>
      <c r="Q8" s="1">
        <v>36738</v>
      </c>
      <c r="R8" s="2">
        <v>104.2013</v>
      </c>
      <c r="S8" s="1">
        <v>36738</v>
      </c>
      <c r="T8" s="2">
        <v>226.48670000000001</v>
      </c>
      <c r="U8" s="1">
        <v>36738</v>
      </c>
      <c r="V8" s="2">
        <v>124.0244</v>
      </c>
      <c r="W8" s="1">
        <v>36738</v>
      </c>
      <c r="X8" s="2">
        <v>915.08</v>
      </c>
      <c r="Y8" s="1">
        <v>36738</v>
      </c>
      <c r="Z8" s="2">
        <v>-20.6</v>
      </c>
      <c r="AA8" s="1">
        <v>37103</v>
      </c>
      <c r="AB8" s="2">
        <v>94.532600000000002</v>
      </c>
      <c r="AC8" s="1">
        <v>36738</v>
      </c>
      <c r="AD8" s="2">
        <v>116.5209</v>
      </c>
      <c r="AE8" s="1">
        <v>37103</v>
      </c>
      <c r="AF8" s="2">
        <v>99.495999999999995</v>
      </c>
      <c r="AG8" s="1">
        <v>37103</v>
      </c>
      <c r="AH8" s="2">
        <v>96.647000000000006</v>
      </c>
      <c r="AI8" s="1">
        <v>37103</v>
      </c>
      <c r="AJ8" s="2">
        <v>95.277299999999997</v>
      </c>
      <c r="AK8" s="1">
        <v>36738</v>
      </c>
      <c r="AL8" s="2">
        <v>2713.04</v>
      </c>
      <c r="AM8" s="1">
        <v>36738</v>
      </c>
      <c r="AN8" s="2">
        <v>739.05</v>
      </c>
      <c r="AO8" s="1">
        <v>36738</v>
      </c>
      <c r="AP8" s="2">
        <v>1036.95</v>
      </c>
      <c r="AQ8" s="1">
        <v>36738</v>
      </c>
      <c r="AR8" s="2">
        <v>700.74</v>
      </c>
      <c r="AS8" s="1">
        <v>36738</v>
      </c>
      <c r="AT8" s="2">
        <v>3799.91</v>
      </c>
      <c r="AU8" s="1">
        <v>36738</v>
      </c>
      <c r="AV8" s="2">
        <v>2455.06</v>
      </c>
      <c r="AW8" s="1">
        <v>38198</v>
      </c>
      <c r="AX8" s="2">
        <v>1336.66</v>
      </c>
      <c r="AY8" s="1">
        <v>38138</v>
      </c>
      <c r="AZ8" s="2">
        <v>106.5</v>
      </c>
      <c r="BA8" s="1">
        <v>41820</v>
      </c>
      <c r="BB8" s="2">
        <v>1040.47</v>
      </c>
      <c r="BC8" s="1">
        <v>36738</v>
      </c>
      <c r="BD8" s="2">
        <v>1.57</v>
      </c>
      <c r="BE8" s="1">
        <v>36738</v>
      </c>
      <c r="BF8" s="2">
        <v>-6.2</v>
      </c>
      <c r="BG8" s="1">
        <v>36738</v>
      </c>
      <c r="BH8" s="2">
        <v>-20.45</v>
      </c>
      <c r="BI8" s="1">
        <v>36738</v>
      </c>
      <c r="BJ8" s="2">
        <v>-30.8</v>
      </c>
      <c r="BK8" s="1">
        <v>36738</v>
      </c>
      <c r="BL8" s="2">
        <v>429.8048</v>
      </c>
      <c r="BM8" s="1">
        <v>38260</v>
      </c>
      <c r="BN8" s="2">
        <v>958.14700000000005</v>
      </c>
      <c r="BO8" s="1">
        <v>38352</v>
      </c>
      <c r="BP8" s="2">
        <v>118.67</v>
      </c>
    </row>
    <row r="9" spans="1:68" x14ac:dyDescent="0.25">
      <c r="A9" s="1">
        <v>36769</v>
      </c>
      <c r="B9" s="2">
        <v>900.62199999999996</v>
      </c>
      <c r="C9" s="1">
        <v>36769</v>
      </c>
      <c r="D9" s="2">
        <v>104.9756</v>
      </c>
      <c r="E9" s="1">
        <v>36769</v>
      </c>
      <c r="F9" s="2">
        <v>111.038</v>
      </c>
      <c r="G9" s="1">
        <v>36769</v>
      </c>
      <c r="H9" s="2">
        <v>111.9846</v>
      </c>
      <c r="I9" s="1">
        <v>36798</v>
      </c>
      <c r="J9" s="2">
        <v>100.3895</v>
      </c>
      <c r="K9" s="1">
        <v>36769</v>
      </c>
      <c r="L9" s="2">
        <v>99.5929</v>
      </c>
      <c r="M9" s="1">
        <v>36769</v>
      </c>
      <c r="N9" s="2">
        <v>96.863699999999994</v>
      </c>
      <c r="O9" s="1">
        <v>36798</v>
      </c>
      <c r="P9" s="2">
        <v>100.3676</v>
      </c>
      <c r="Q9" s="1">
        <v>36769</v>
      </c>
      <c r="R9" s="2">
        <v>105.8746</v>
      </c>
      <c r="S9" s="1">
        <v>36769</v>
      </c>
      <c r="T9" s="2">
        <v>228.1489</v>
      </c>
      <c r="U9" s="1">
        <v>36769</v>
      </c>
      <c r="V9" s="2">
        <v>122.3544</v>
      </c>
      <c r="W9" s="1">
        <v>36769</v>
      </c>
      <c r="X9" s="2">
        <v>928.95</v>
      </c>
      <c r="Y9" s="1">
        <v>36769</v>
      </c>
      <c r="Z9" s="2">
        <v>-35.35</v>
      </c>
      <c r="AA9" s="1">
        <v>37134</v>
      </c>
      <c r="AB9" s="2">
        <v>94.592299999999994</v>
      </c>
      <c r="AC9" s="1">
        <v>36769</v>
      </c>
      <c r="AD9" s="2">
        <v>125.31910000000001</v>
      </c>
      <c r="AE9" s="1">
        <v>37134</v>
      </c>
      <c r="AF9" s="2">
        <v>96.960400000000007</v>
      </c>
      <c r="AG9" s="1">
        <v>37134</v>
      </c>
      <c r="AH9" s="2">
        <v>100.2418</v>
      </c>
      <c r="AI9" s="1">
        <v>37134</v>
      </c>
      <c r="AJ9" s="2">
        <v>96.709599999999995</v>
      </c>
      <c r="AK9" s="1">
        <v>36769</v>
      </c>
      <c r="AL9" s="2">
        <v>2800.95</v>
      </c>
      <c r="AM9" s="1">
        <v>36769</v>
      </c>
      <c r="AN9" s="2">
        <v>756.4</v>
      </c>
      <c r="AO9" s="1">
        <v>36769</v>
      </c>
      <c r="AP9" s="2">
        <v>1063.81</v>
      </c>
      <c r="AQ9" s="1">
        <v>36769</v>
      </c>
      <c r="AR9" s="2">
        <v>743.39</v>
      </c>
      <c r="AS9" s="1">
        <v>36769</v>
      </c>
      <c r="AT9" s="2">
        <v>3912.55</v>
      </c>
      <c r="AU9" s="1">
        <v>36769</v>
      </c>
      <c r="AV9" s="2">
        <v>2541.94</v>
      </c>
      <c r="AW9" s="1">
        <v>38230</v>
      </c>
      <c r="AX9" s="2">
        <v>1382.45</v>
      </c>
      <c r="AY9" s="1">
        <v>38168</v>
      </c>
      <c r="AZ9" s="2">
        <v>111.31</v>
      </c>
      <c r="BA9" s="1">
        <v>41851</v>
      </c>
      <c r="BB9" s="2">
        <v>1041.72</v>
      </c>
      <c r="BC9" s="1">
        <v>36769</v>
      </c>
      <c r="BD9" s="2">
        <v>1.59</v>
      </c>
      <c r="BE9" s="1">
        <v>36769</v>
      </c>
      <c r="BF9" s="2">
        <v>-17.55</v>
      </c>
      <c r="BG9" s="1">
        <v>36769</v>
      </c>
      <c r="BH9" s="2">
        <v>-53.6</v>
      </c>
      <c r="BI9" s="1">
        <v>36769</v>
      </c>
      <c r="BJ9" s="2">
        <v>-16.7</v>
      </c>
      <c r="BK9" s="1">
        <v>36769</v>
      </c>
      <c r="BL9" s="2">
        <v>426.57069999999999</v>
      </c>
      <c r="BM9" s="1">
        <v>38289</v>
      </c>
      <c r="BN9" s="2">
        <v>981.59500000000003</v>
      </c>
      <c r="BO9" s="1">
        <v>38383</v>
      </c>
      <c r="BP9" s="2">
        <v>120.16</v>
      </c>
    </row>
    <row r="10" spans="1:68" x14ac:dyDescent="0.25">
      <c r="A10" s="1">
        <v>36798</v>
      </c>
      <c r="B10" s="2">
        <v>839.59299999999996</v>
      </c>
      <c r="C10" s="1">
        <v>36798</v>
      </c>
      <c r="D10" s="2">
        <v>103.65770000000001</v>
      </c>
      <c r="E10" s="1">
        <v>36798</v>
      </c>
      <c r="F10" s="2">
        <v>110.834</v>
      </c>
      <c r="G10" s="1">
        <v>36798</v>
      </c>
      <c r="H10" s="2">
        <v>110.2908</v>
      </c>
      <c r="I10" s="1">
        <v>36830</v>
      </c>
      <c r="J10" s="2">
        <v>101.1601</v>
      </c>
      <c r="K10" s="1">
        <v>36798</v>
      </c>
      <c r="L10" s="2">
        <v>98.658100000000005</v>
      </c>
      <c r="M10" s="1">
        <v>36798</v>
      </c>
      <c r="N10" s="2">
        <v>96.721699999999998</v>
      </c>
      <c r="O10" s="1">
        <v>36830</v>
      </c>
      <c r="P10" s="2">
        <v>100.7937</v>
      </c>
      <c r="Q10" s="1">
        <v>36798</v>
      </c>
      <c r="R10" s="2">
        <v>107.1656</v>
      </c>
      <c r="S10" s="1">
        <v>36798</v>
      </c>
      <c r="T10" s="2">
        <v>230.0034</v>
      </c>
      <c r="U10" s="1">
        <v>36798</v>
      </c>
      <c r="V10" s="2">
        <v>123.46720000000001</v>
      </c>
      <c r="W10" s="1">
        <v>36798</v>
      </c>
      <c r="X10" s="2">
        <v>938.58</v>
      </c>
      <c r="Y10" s="1">
        <v>36798</v>
      </c>
      <c r="Z10" s="2">
        <v>-16.850000000000001</v>
      </c>
      <c r="AA10" s="1">
        <v>37162</v>
      </c>
      <c r="AB10" s="2">
        <v>88.293999999999997</v>
      </c>
      <c r="AC10" s="1">
        <v>36798</v>
      </c>
      <c r="AD10" s="2">
        <v>124.7496</v>
      </c>
      <c r="AE10" s="1">
        <v>37162</v>
      </c>
      <c r="AF10" s="2">
        <v>90.271600000000007</v>
      </c>
      <c r="AG10" s="1">
        <v>37162</v>
      </c>
      <c r="AH10" s="2">
        <v>89.334800000000001</v>
      </c>
      <c r="AI10" s="1">
        <v>37162</v>
      </c>
      <c r="AJ10" s="2">
        <v>104.434</v>
      </c>
      <c r="AK10" s="1">
        <v>36798</v>
      </c>
      <c r="AL10" s="2">
        <v>2651.69</v>
      </c>
      <c r="AM10" s="1">
        <v>36798</v>
      </c>
      <c r="AN10" s="2">
        <v>707.51</v>
      </c>
      <c r="AO10" s="1">
        <v>36798</v>
      </c>
      <c r="AP10" s="2">
        <v>1072.07</v>
      </c>
      <c r="AQ10" s="1">
        <v>36798</v>
      </c>
      <c r="AR10" s="2">
        <v>661.46</v>
      </c>
      <c r="AS10" s="1">
        <v>36798</v>
      </c>
      <c r="AT10" s="2">
        <v>3848.51</v>
      </c>
      <c r="AU10" s="1">
        <v>36798</v>
      </c>
      <c r="AV10" s="2">
        <v>2316.65</v>
      </c>
      <c r="AW10" s="1">
        <v>38260</v>
      </c>
      <c r="AX10" s="2">
        <v>1418.11</v>
      </c>
      <c r="AY10" s="1">
        <v>38198</v>
      </c>
      <c r="AZ10" s="2">
        <v>103.63</v>
      </c>
      <c r="BA10" s="1">
        <v>41880</v>
      </c>
      <c r="BB10" s="2">
        <v>1060.8800000000001</v>
      </c>
      <c r="BC10" s="1">
        <v>36798</v>
      </c>
      <c r="BD10" s="2">
        <v>1.56</v>
      </c>
      <c r="BE10" s="1">
        <v>36798</v>
      </c>
      <c r="BF10" s="2">
        <v>-3.35</v>
      </c>
      <c r="BG10" s="1">
        <v>36798</v>
      </c>
      <c r="BH10" s="2">
        <v>-40.700000000000003</v>
      </c>
      <c r="BI10" s="1">
        <v>36798</v>
      </c>
      <c r="BJ10" s="2">
        <v>4.7</v>
      </c>
      <c r="BK10" s="1">
        <v>36798</v>
      </c>
      <c r="BL10" s="2">
        <v>425.72969999999998</v>
      </c>
      <c r="BM10" s="1">
        <v>38321</v>
      </c>
      <c r="BN10" s="2">
        <v>1035.002</v>
      </c>
      <c r="BO10" s="1">
        <v>38411</v>
      </c>
      <c r="BP10" s="2">
        <v>122.31</v>
      </c>
    </row>
    <row r="11" spans="1:68" x14ac:dyDescent="0.25">
      <c r="A11" s="1">
        <v>36830</v>
      </c>
      <c r="B11" s="2">
        <v>866.68799999999999</v>
      </c>
      <c r="C11" s="1">
        <v>36830</v>
      </c>
      <c r="D11" s="2">
        <v>104.5549</v>
      </c>
      <c r="E11" s="1">
        <v>36830</v>
      </c>
      <c r="F11" s="2">
        <v>112.48099999999999</v>
      </c>
      <c r="G11" s="1">
        <v>36830</v>
      </c>
      <c r="H11" s="2">
        <v>108.0266</v>
      </c>
      <c r="I11" s="1">
        <v>36860</v>
      </c>
      <c r="J11" s="2">
        <v>102.04600000000001</v>
      </c>
      <c r="K11" s="1">
        <v>36830</v>
      </c>
      <c r="L11" s="2">
        <v>98.298900000000003</v>
      </c>
      <c r="M11" s="1">
        <v>36830</v>
      </c>
      <c r="N11" s="2">
        <v>96.702200000000005</v>
      </c>
      <c r="O11" s="1">
        <v>36860</v>
      </c>
      <c r="P11" s="2">
        <v>100.94410000000001</v>
      </c>
      <c r="Q11" s="1">
        <v>36830</v>
      </c>
      <c r="R11" s="2">
        <v>110.4515</v>
      </c>
      <c r="S11" s="1">
        <v>36830</v>
      </c>
      <c r="T11" s="2">
        <v>231.72559999999999</v>
      </c>
      <c r="U11" s="1">
        <v>36830</v>
      </c>
      <c r="V11" s="2">
        <v>123.4046</v>
      </c>
      <c r="W11" s="1">
        <v>36830</v>
      </c>
      <c r="X11" s="2">
        <v>945.32</v>
      </c>
      <c r="Y11" s="1">
        <v>36830</v>
      </c>
      <c r="Z11" s="2">
        <v>-12.1</v>
      </c>
      <c r="AA11" s="1">
        <v>37195</v>
      </c>
      <c r="AB11" s="2">
        <v>84.294799999999995</v>
      </c>
      <c r="AC11" s="1">
        <v>36830</v>
      </c>
      <c r="AD11" s="2">
        <v>120.6927</v>
      </c>
      <c r="AE11" s="1">
        <v>37195</v>
      </c>
      <c r="AF11" s="2">
        <v>88.126000000000005</v>
      </c>
      <c r="AG11" s="1">
        <v>37195</v>
      </c>
      <c r="AH11" s="2">
        <v>83.035399999999996</v>
      </c>
      <c r="AI11" s="1">
        <v>37195</v>
      </c>
      <c r="AJ11" s="2">
        <v>97.992199999999997</v>
      </c>
      <c r="AK11" s="1">
        <v>36830</v>
      </c>
      <c r="AL11" s="2">
        <v>2606.94</v>
      </c>
      <c r="AM11" s="1">
        <v>36830</v>
      </c>
      <c r="AN11" s="2">
        <v>715.11</v>
      </c>
      <c r="AO11" s="1">
        <v>36830</v>
      </c>
      <c r="AP11" s="2">
        <v>1071.93</v>
      </c>
      <c r="AQ11" s="1">
        <v>36830</v>
      </c>
      <c r="AR11" s="2">
        <v>623.26</v>
      </c>
      <c r="AS11" s="1">
        <v>36830</v>
      </c>
      <c r="AT11" s="2">
        <v>3877.58</v>
      </c>
      <c r="AU11" s="1">
        <v>36830</v>
      </c>
      <c r="AV11" s="2">
        <v>2219.17</v>
      </c>
      <c r="AW11" s="1">
        <v>38289</v>
      </c>
      <c r="AX11" s="2">
        <v>1446.06</v>
      </c>
      <c r="AY11" s="1">
        <v>38230</v>
      </c>
      <c r="AZ11" s="2">
        <v>108.66</v>
      </c>
      <c r="BA11" s="1">
        <v>41912</v>
      </c>
      <c r="BB11" s="2">
        <v>1056.0999999999999</v>
      </c>
      <c r="BC11" s="1">
        <v>36830</v>
      </c>
      <c r="BD11" s="2">
        <v>1.76</v>
      </c>
      <c r="BE11" s="1">
        <v>36830</v>
      </c>
      <c r="BF11" s="2">
        <v>-2.9</v>
      </c>
      <c r="BG11" s="1">
        <v>36830</v>
      </c>
      <c r="BH11" s="2">
        <v>-61.6</v>
      </c>
      <c r="BI11" s="1">
        <v>36830</v>
      </c>
      <c r="BJ11" s="2">
        <v>-2.2000000000000002</v>
      </c>
      <c r="BK11" s="1">
        <v>36830</v>
      </c>
      <c r="BL11" s="2">
        <v>420.32310000000001</v>
      </c>
      <c r="BM11" s="1">
        <v>38352</v>
      </c>
      <c r="BN11" s="2">
        <v>1073.867</v>
      </c>
      <c r="BO11" s="1">
        <v>38442</v>
      </c>
      <c r="BP11" s="2">
        <v>120.2</v>
      </c>
    </row>
    <row r="12" spans="1:68" x14ac:dyDescent="0.25">
      <c r="A12" s="1">
        <v>36860</v>
      </c>
      <c r="B12" s="2">
        <v>976.04399999999998</v>
      </c>
      <c r="C12" s="1">
        <v>36860</v>
      </c>
      <c r="D12" s="2">
        <v>104.5527</v>
      </c>
      <c r="E12" s="1">
        <v>36860</v>
      </c>
      <c r="F12" s="2">
        <v>113.113</v>
      </c>
      <c r="G12" s="1">
        <v>36860</v>
      </c>
      <c r="H12" s="2">
        <v>108.8676</v>
      </c>
      <c r="I12" s="1">
        <v>36889</v>
      </c>
      <c r="J12" s="2">
        <v>102.2003</v>
      </c>
      <c r="K12" s="1">
        <v>36860</v>
      </c>
      <c r="L12" s="2">
        <v>100.0647</v>
      </c>
      <c r="M12" s="1">
        <v>36860</v>
      </c>
      <c r="N12" s="2">
        <v>100.26260000000001</v>
      </c>
      <c r="O12" s="1">
        <v>36889</v>
      </c>
      <c r="P12" s="2">
        <v>100.99339999999999</v>
      </c>
      <c r="Q12" s="1">
        <v>36860</v>
      </c>
      <c r="R12" s="2">
        <v>110.54689999999999</v>
      </c>
      <c r="S12" s="1">
        <v>36860</v>
      </c>
      <c r="T12" s="2">
        <v>235.62469999999999</v>
      </c>
      <c r="U12" s="1">
        <v>36860</v>
      </c>
      <c r="V12" s="2">
        <v>124.2704</v>
      </c>
      <c r="W12" s="1">
        <v>36860</v>
      </c>
      <c r="X12" s="2">
        <v>959.54</v>
      </c>
      <c r="Y12" s="1">
        <v>36860</v>
      </c>
      <c r="Z12" s="2">
        <v>-13.55</v>
      </c>
      <c r="AA12" s="1">
        <v>37225</v>
      </c>
      <c r="AB12" s="2">
        <v>85.461500000000001</v>
      </c>
      <c r="AC12" s="1">
        <v>36860</v>
      </c>
      <c r="AD12" s="2">
        <v>127.6084</v>
      </c>
      <c r="AE12" s="1">
        <v>37225</v>
      </c>
      <c r="AF12" s="2">
        <v>89.781199999999998</v>
      </c>
      <c r="AG12" s="1">
        <v>37225</v>
      </c>
      <c r="AH12" s="2">
        <v>76.021799999999999</v>
      </c>
      <c r="AI12" s="1">
        <v>37225</v>
      </c>
      <c r="AJ12" s="2">
        <v>95.989500000000007</v>
      </c>
      <c r="AK12" s="1">
        <v>36860</v>
      </c>
      <c r="AL12" s="2">
        <v>2448.33</v>
      </c>
      <c r="AM12" s="1">
        <v>36860</v>
      </c>
      <c r="AN12" s="2">
        <v>678.45</v>
      </c>
      <c r="AO12" s="1">
        <v>36860</v>
      </c>
      <c r="AP12" s="2">
        <v>1059.25</v>
      </c>
      <c r="AQ12" s="1">
        <v>36860</v>
      </c>
      <c r="AR12" s="2">
        <v>600.80999999999995</v>
      </c>
      <c r="AS12" s="1">
        <v>36860</v>
      </c>
      <c r="AT12" s="2">
        <v>3700.29</v>
      </c>
      <c r="AU12" s="1">
        <v>36860</v>
      </c>
      <c r="AV12" s="2">
        <v>2047.88</v>
      </c>
      <c r="AW12" s="1">
        <v>38321</v>
      </c>
      <c r="AX12" s="2">
        <v>1462.43</v>
      </c>
      <c r="AY12" s="1">
        <v>38260</v>
      </c>
      <c r="AZ12" s="2">
        <v>112.08</v>
      </c>
      <c r="BA12" s="1">
        <v>41943</v>
      </c>
      <c r="BB12" s="2">
        <v>1062.54</v>
      </c>
      <c r="BC12" s="1">
        <v>36860</v>
      </c>
      <c r="BD12" s="2">
        <v>1.9</v>
      </c>
      <c r="BE12" s="1">
        <v>36860</v>
      </c>
      <c r="BF12" s="2">
        <v>2.2999999999999998</v>
      </c>
      <c r="BG12" s="1">
        <v>36860</v>
      </c>
      <c r="BH12" s="2">
        <v>-74.150000000000006</v>
      </c>
      <c r="BI12" s="1">
        <v>36860</v>
      </c>
      <c r="BJ12" s="2">
        <v>19.55</v>
      </c>
      <c r="BK12" s="1">
        <v>36860</v>
      </c>
      <c r="BL12" s="2">
        <v>428.66890000000001</v>
      </c>
      <c r="BM12" s="1">
        <v>38383</v>
      </c>
      <c r="BN12" s="2">
        <v>1054.414</v>
      </c>
      <c r="BO12" s="1">
        <v>38471</v>
      </c>
      <c r="BP12" s="2">
        <v>119.41</v>
      </c>
    </row>
    <row r="13" spans="1:68" x14ac:dyDescent="0.25">
      <c r="A13" s="1">
        <v>36889</v>
      </c>
      <c r="B13" s="2">
        <v>1116.6600000000001</v>
      </c>
      <c r="C13" s="1">
        <v>36889</v>
      </c>
      <c r="D13" s="2">
        <v>104.0106</v>
      </c>
      <c r="E13" s="1">
        <v>36889</v>
      </c>
      <c r="F13" s="2">
        <v>114.69199999999999</v>
      </c>
      <c r="G13" s="1">
        <v>36889</v>
      </c>
      <c r="H13" s="2">
        <v>112.62739999999999</v>
      </c>
      <c r="I13" s="1">
        <v>36922</v>
      </c>
      <c r="J13" s="2">
        <v>101.99209999999999</v>
      </c>
      <c r="K13" s="1">
        <v>36889</v>
      </c>
      <c r="L13" s="2">
        <v>99.882999999999996</v>
      </c>
      <c r="M13" s="1">
        <v>36889</v>
      </c>
      <c r="N13" s="2">
        <v>104.12520000000001</v>
      </c>
      <c r="O13" s="1">
        <v>36922</v>
      </c>
      <c r="P13" s="2">
        <v>100.4789</v>
      </c>
      <c r="Q13" s="1">
        <v>36889</v>
      </c>
      <c r="R13" s="2">
        <v>108.19450000000001</v>
      </c>
      <c r="S13" s="1">
        <v>36889</v>
      </c>
      <c r="T13" s="2">
        <v>239.01910000000001</v>
      </c>
      <c r="U13" s="1">
        <v>36889</v>
      </c>
      <c r="V13" s="2">
        <v>128.54929999999999</v>
      </c>
      <c r="W13" s="1">
        <v>36889</v>
      </c>
      <c r="X13" s="2">
        <v>974.99</v>
      </c>
      <c r="Y13" s="1">
        <v>36889</v>
      </c>
      <c r="Z13" s="2">
        <v>0.8</v>
      </c>
      <c r="AA13" s="1">
        <v>37256</v>
      </c>
      <c r="AB13" s="2">
        <v>83.658100000000005</v>
      </c>
      <c r="AC13" s="1">
        <v>36889</v>
      </c>
      <c r="AD13" s="2">
        <v>130.14619999999999</v>
      </c>
      <c r="AE13" s="1">
        <v>37256</v>
      </c>
      <c r="AF13" s="2">
        <v>87.016599999999997</v>
      </c>
      <c r="AG13" s="1">
        <v>37256</v>
      </c>
      <c r="AH13" s="2">
        <v>76.327699999999993</v>
      </c>
      <c r="AI13" s="1">
        <v>37256</v>
      </c>
      <c r="AJ13" s="2">
        <v>100.4355</v>
      </c>
      <c r="AK13" s="1">
        <v>36889</v>
      </c>
      <c r="AL13" s="2">
        <v>2487.61</v>
      </c>
      <c r="AM13" s="1">
        <v>36889</v>
      </c>
      <c r="AN13" s="2">
        <v>677.69</v>
      </c>
      <c r="AO13" s="1">
        <v>36889</v>
      </c>
      <c r="AP13" s="2">
        <v>1085.56</v>
      </c>
      <c r="AQ13" s="1">
        <v>36889</v>
      </c>
      <c r="AR13" s="2">
        <v>620.45000000000005</v>
      </c>
      <c r="AS13" s="1">
        <v>36889</v>
      </c>
      <c r="AT13" s="2">
        <v>3876.36</v>
      </c>
      <c r="AU13" s="1">
        <v>36889</v>
      </c>
      <c r="AV13" s="2">
        <v>2009.13</v>
      </c>
      <c r="AW13" s="1">
        <v>38352</v>
      </c>
      <c r="AX13" s="2">
        <v>1466.06</v>
      </c>
      <c r="AY13" s="1">
        <v>38289</v>
      </c>
      <c r="AZ13" s="2">
        <v>114.73</v>
      </c>
      <c r="BA13" s="1">
        <v>41971</v>
      </c>
      <c r="BB13" s="2">
        <v>1070.9100000000001</v>
      </c>
      <c r="BC13" s="1">
        <v>36889</v>
      </c>
      <c r="BD13" s="2">
        <v>1.9</v>
      </c>
      <c r="BE13" s="1">
        <v>36889</v>
      </c>
      <c r="BF13" s="2">
        <v>13.3</v>
      </c>
      <c r="BG13" s="1">
        <v>36889</v>
      </c>
      <c r="BH13" s="2">
        <v>-77.2</v>
      </c>
      <c r="BI13" s="1">
        <v>36889</v>
      </c>
      <c r="BJ13" s="2">
        <v>46.5</v>
      </c>
      <c r="BK13" s="1">
        <v>36889</v>
      </c>
      <c r="BL13" s="2">
        <v>444.03129999999999</v>
      </c>
      <c r="BM13" s="1">
        <v>38411</v>
      </c>
      <c r="BN13" s="2">
        <v>1094.193</v>
      </c>
      <c r="BO13" s="1">
        <v>38503</v>
      </c>
      <c r="BP13" s="2">
        <v>123.45</v>
      </c>
    </row>
    <row r="14" spans="1:68" x14ac:dyDescent="0.25">
      <c r="A14" s="1">
        <v>36922</v>
      </c>
      <c r="B14" s="2">
        <v>1127.7829999999999</v>
      </c>
      <c r="C14" s="1">
        <v>36922</v>
      </c>
      <c r="D14" s="2">
        <v>106.22580000000001</v>
      </c>
      <c r="E14" s="1">
        <v>36922</v>
      </c>
      <c r="F14" s="2">
        <v>115.31</v>
      </c>
      <c r="G14" s="1">
        <v>36922</v>
      </c>
      <c r="H14" s="2">
        <v>113.89960000000001</v>
      </c>
      <c r="I14" s="1">
        <v>36950</v>
      </c>
      <c r="J14" s="2">
        <v>102.7226</v>
      </c>
      <c r="K14" s="1">
        <v>36922</v>
      </c>
      <c r="L14" s="2">
        <v>98.909400000000005</v>
      </c>
      <c r="M14" s="1">
        <v>36922</v>
      </c>
      <c r="N14" s="2">
        <v>105.6116</v>
      </c>
      <c r="O14" s="1">
        <v>36950</v>
      </c>
      <c r="P14" s="2">
        <v>100.6682</v>
      </c>
      <c r="Q14" s="1">
        <v>36922</v>
      </c>
      <c r="R14" s="2">
        <v>108.12050000000001</v>
      </c>
      <c r="S14" s="1">
        <v>36922</v>
      </c>
      <c r="T14" s="2">
        <v>242.29570000000001</v>
      </c>
      <c r="U14" s="1">
        <v>36922</v>
      </c>
      <c r="V14" s="2">
        <v>128.9015</v>
      </c>
      <c r="W14" s="1">
        <v>36922</v>
      </c>
      <c r="X14" s="2">
        <v>990.17</v>
      </c>
      <c r="Y14" s="1">
        <v>36922</v>
      </c>
      <c r="Z14" s="2">
        <v>55.9</v>
      </c>
      <c r="AA14" s="1">
        <v>37287</v>
      </c>
      <c r="AB14" s="2">
        <v>83.737499999999997</v>
      </c>
      <c r="AC14" s="1">
        <v>36922</v>
      </c>
      <c r="AD14" s="2">
        <v>128.44839999999999</v>
      </c>
      <c r="AE14" s="1">
        <v>37287</v>
      </c>
      <c r="AF14" s="2">
        <v>86.781099999999995</v>
      </c>
      <c r="AG14" s="1">
        <v>37287</v>
      </c>
      <c r="AH14" s="2">
        <v>74.322999999999993</v>
      </c>
      <c r="AI14" s="1">
        <v>37287</v>
      </c>
      <c r="AJ14" s="2">
        <v>98.548500000000004</v>
      </c>
      <c r="AK14" s="1">
        <v>36922</v>
      </c>
      <c r="AL14" s="2">
        <v>2535.52</v>
      </c>
      <c r="AM14" s="1">
        <v>36922</v>
      </c>
      <c r="AN14" s="2">
        <v>682.91</v>
      </c>
      <c r="AO14" s="1">
        <v>36922</v>
      </c>
      <c r="AP14" s="2">
        <v>1051.57</v>
      </c>
      <c r="AQ14" s="1">
        <v>36922</v>
      </c>
      <c r="AR14" s="2">
        <v>592.95000000000005</v>
      </c>
      <c r="AS14" s="1">
        <v>36922</v>
      </c>
      <c r="AT14" s="2">
        <v>3915.3</v>
      </c>
      <c r="AU14" s="1">
        <v>36922</v>
      </c>
      <c r="AV14" s="2">
        <v>2069.75</v>
      </c>
      <c r="AW14" s="1">
        <v>38383</v>
      </c>
      <c r="AX14" s="2">
        <v>1488.02</v>
      </c>
      <c r="AY14" s="1">
        <v>38321</v>
      </c>
      <c r="AZ14" s="2">
        <v>124.53</v>
      </c>
      <c r="BA14" s="1">
        <v>42004</v>
      </c>
      <c r="BB14" s="2">
        <v>1070.1099999999999</v>
      </c>
      <c r="BC14" s="1">
        <v>36922</v>
      </c>
      <c r="BD14" s="2">
        <v>1.64</v>
      </c>
      <c r="BE14" s="1">
        <v>36922</v>
      </c>
      <c r="BF14" s="2">
        <v>36.450000000000003</v>
      </c>
      <c r="BG14" s="1">
        <v>36922</v>
      </c>
      <c r="BH14" s="2">
        <v>8.9499999999999993</v>
      </c>
      <c r="BI14" s="1">
        <v>36922</v>
      </c>
      <c r="BJ14" s="2">
        <v>84.35</v>
      </c>
      <c r="BK14" s="1">
        <v>36922</v>
      </c>
      <c r="BL14" s="2">
        <v>443.46530000000001</v>
      </c>
      <c r="BM14" s="1">
        <v>38442</v>
      </c>
      <c r="BN14" s="2">
        <v>1072.8589999999999</v>
      </c>
      <c r="BO14" s="1">
        <v>38533</v>
      </c>
      <c r="BP14" s="2">
        <v>126.32</v>
      </c>
    </row>
    <row r="15" spans="1:68" x14ac:dyDescent="0.25">
      <c r="A15" s="1">
        <v>36950</v>
      </c>
      <c r="B15" s="2">
        <v>1140.1089999999999</v>
      </c>
      <c r="C15" s="1">
        <v>36950</v>
      </c>
      <c r="D15" s="2">
        <v>106.5368</v>
      </c>
      <c r="E15" s="1">
        <v>36950</v>
      </c>
      <c r="F15" s="2">
        <v>115.907</v>
      </c>
      <c r="G15" s="1">
        <v>36950</v>
      </c>
      <c r="H15" s="2">
        <v>109.7041</v>
      </c>
      <c r="I15" s="1">
        <v>36980</v>
      </c>
      <c r="J15" s="2">
        <v>104.1597</v>
      </c>
      <c r="K15" s="1">
        <v>36950</v>
      </c>
      <c r="L15" s="2">
        <v>101.4966</v>
      </c>
      <c r="M15" s="1">
        <v>36950</v>
      </c>
      <c r="N15" s="2">
        <v>106.7281</v>
      </c>
      <c r="O15" s="1">
        <v>36980</v>
      </c>
      <c r="P15" s="2">
        <v>101.6263</v>
      </c>
      <c r="Q15" s="1">
        <v>36950</v>
      </c>
      <c r="R15" s="2">
        <v>108.60299999999999</v>
      </c>
      <c r="S15" s="1">
        <v>36950</v>
      </c>
      <c r="T15" s="2">
        <v>244.42840000000001</v>
      </c>
      <c r="U15" s="1">
        <v>36950</v>
      </c>
      <c r="V15" s="2">
        <v>128.81809999999999</v>
      </c>
      <c r="W15" s="1">
        <v>36950</v>
      </c>
      <c r="X15" s="2">
        <v>995.84</v>
      </c>
      <c r="Y15" s="1">
        <v>36950</v>
      </c>
      <c r="Z15" s="2">
        <v>49</v>
      </c>
      <c r="AA15" s="1">
        <v>37315</v>
      </c>
      <c r="AB15" s="2">
        <v>86.000399999999999</v>
      </c>
      <c r="AC15" s="1">
        <v>36950</v>
      </c>
      <c r="AD15" s="2">
        <v>127.0671</v>
      </c>
      <c r="AE15" s="1">
        <v>37315</v>
      </c>
      <c r="AF15" s="2">
        <v>85.885099999999994</v>
      </c>
      <c r="AG15" s="1">
        <v>37315</v>
      </c>
      <c r="AH15" s="2">
        <v>80.004400000000004</v>
      </c>
      <c r="AI15" s="1">
        <v>37315</v>
      </c>
      <c r="AJ15" s="2">
        <v>104.1842</v>
      </c>
      <c r="AK15" s="1">
        <v>36950</v>
      </c>
      <c r="AL15" s="2">
        <v>2320.9499999999998</v>
      </c>
      <c r="AM15" s="1">
        <v>36950</v>
      </c>
      <c r="AN15" s="2">
        <v>619.67999999999995</v>
      </c>
      <c r="AO15" s="1">
        <v>36950</v>
      </c>
      <c r="AP15" s="2">
        <v>1029.6300000000001</v>
      </c>
      <c r="AQ15" s="1">
        <v>36950</v>
      </c>
      <c r="AR15" s="2">
        <v>564.29999999999995</v>
      </c>
      <c r="AS15" s="1">
        <v>36950</v>
      </c>
      <c r="AT15" s="2">
        <v>3723.11</v>
      </c>
      <c r="AU15" s="1">
        <v>36950</v>
      </c>
      <c r="AV15" s="2">
        <v>1805.64</v>
      </c>
      <c r="AW15" s="1">
        <v>38411</v>
      </c>
      <c r="AX15" s="2">
        <v>1536.58</v>
      </c>
      <c r="AY15" s="1">
        <v>38352</v>
      </c>
      <c r="AZ15" s="2">
        <v>132.12</v>
      </c>
      <c r="BA15" s="1">
        <v>42034</v>
      </c>
      <c r="BB15" s="2">
        <v>1082.44</v>
      </c>
      <c r="BC15" s="1">
        <v>36950</v>
      </c>
      <c r="BD15" s="2">
        <v>1.7</v>
      </c>
      <c r="BE15" s="1">
        <v>36950</v>
      </c>
      <c r="BF15" s="2">
        <v>24.8</v>
      </c>
      <c r="BG15" s="1">
        <v>36950</v>
      </c>
      <c r="BH15" s="2">
        <v>4.8</v>
      </c>
      <c r="BI15" s="1">
        <v>36950</v>
      </c>
      <c r="BJ15" s="2">
        <v>70.400000000000006</v>
      </c>
      <c r="BK15" s="1">
        <v>36950</v>
      </c>
      <c r="BL15" s="2">
        <v>443.298</v>
      </c>
      <c r="BM15" s="1">
        <v>38471</v>
      </c>
      <c r="BN15" s="2">
        <v>1049.5519999999999</v>
      </c>
      <c r="BO15" s="1">
        <v>38562</v>
      </c>
      <c r="BP15" s="2">
        <v>128.93</v>
      </c>
    </row>
    <row r="16" spans="1:68" x14ac:dyDescent="0.25">
      <c r="A16" s="1">
        <v>36980</v>
      </c>
      <c r="B16" s="2">
        <v>1235.097</v>
      </c>
      <c r="C16" s="1">
        <v>36980</v>
      </c>
      <c r="D16" s="2">
        <v>108.1216</v>
      </c>
      <c r="E16" s="1">
        <v>36980</v>
      </c>
      <c r="F16" s="2">
        <v>118.843</v>
      </c>
      <c r="G16" s="1">
        <v>36980</v>
      </c>
      <c r="H16" s="2">
        <v>107.6664</v>
      </c>
      <c r="I16" s="1">
        <v>37011</v>
      </c>
      <c r="J16" s="2">
        <v>102.9984</v>
      </c>
      <c r="K16" s="1">
        <v>36980</v>
      </c>
      <c r="L16" s="2">
        <v>103.32170000000001</v>
      </c>
      <c r="M16" s="1">
        <v>36980</v>
      </c>
      <c r="N16" s="2">
        <v>107.3933</v>
      </c>
      <c r="O16" s="1">
        <v>37011</v>
      </c>
      <c r="P16" s="2">
        <v>101.1262</v>
      </c>
      <c r="Q16" s="1">
        <v>36980</v>
      </c>
      <c r="R16" s="2">
        <v>111.7069</v>
      </c>
      <c r="S16" s="1">
        <v>36980</v>
      </c>
      <c r="T16" s="2">
        <v>246.03919999999999</v>
      </c>
      <c r="U16" s="1">
        <v>36980</v>
      </c>
      <c r="V16" s="2">
        <v>126.8403</v>
      </c>
      <c r="W16" s="1">
        <v>36980</v>
      </c>
      <c r="X16" s="2">
        <v>1001.62</v>
      </c>
      <c r="Y16" s="1">
        <v>36980</v>
      </c>
      <c r="Z16" s="2">
        <v>70.400000000000006</v>
      </c>
      <c r="AA16" s="1">
        <v>37344</v>
      </c>
      <c r="AB16" s="2">
        <v>94.274500000000003</v>
      </c>
      <c r="AC16" s="1">
        <v>36980</v>
      </c>
      <c r="AD16" s="2">
        <v>121.80119999999999</v>
      </c>
      <c r="AE16" s="1">
        <v>37344</v>
      </c>
      <c r="AF16" s="2">
        <v>88.328900000000004</v>
      </c>
      <c r="AG16" s="1">
        <v>37344</v>
      </c>
      <c r="AH16" s="2">
        <v>96.83</v>
      </c>
      <c r="AI16" s="1">
        <v>37344</v>
      </c>
      <c r="AJ16" s="2">
        <v>106.7833</v>
      </c>
      <c r="AK16" s="1">
        <v>36980</v>
      </c>
      <c r="AL16" s="2">
        <v>2168.12</v>
      </c>
      <c r="AM16" s="1">
        <v>36980</v>
      </c>
      <c r="AN16" s="2">
        <v>576.63</v>
      </c>
      <c r="AO16" s="1">
        <v>36980</v>
      </c>
      <c r="AP16" s="2">
        <v>983.44</v>
      </c>
      <c r="AQ16" s="1">
        <v>36980</v>
      </c>
      <c r="AR16" s="2">
        <v>531.98</v>
      </c>
      <c r="AS16" s="1">
        <v>36980</v>
      </c>
      <c r="AT16" s="2">
        <v>3532.32</v>
      </c>
      <c r="AU16" s="1">
        <v>36980</v>
      </c>
      <c r="AV16" s="2">
        <v>1659.37</v>
      </c>
      <c r="AW16" s="1">
        <v>38442</v>
      </c>
      <c r="AX16" s="2">
        <v>1566.33</v>
      </c>
      <c r="AY16" s="1">
        <v>38383</v>
      </c>
      <c r="AZ16" s="2">
        <v>128.97999999999999</v>
      </c>
      <c r="BA16" s="1">
        <v>42062</v>
      </c>
      <c r="BB16" s="2">
        <v>1109.8599999999999</v>
      </c>
      <c r="BC16" s="1">
        <v>36980</v>
      </c>
      <c r="BD16" s="2">
        <v>1.71</v>
      </c>
      <c r="BE16" s="1">
        <v>36980</v>
      </c>
      <c r="BF16" s="2">
        <v>31.3</v>
      </c>
      <c r="BG16" s="1">
        <v>36980</v>
      </c>
      <c r="BH16" s="2">
        <v>66.2</v>
      </c>
      <c r="BI16" s="1">
        <v>36980</v>
      </c>
      <c r="BJ16" s="2">
        <v>89.15</v>
      </c>
      <c r="BK16" s="1">
        <v>36980</v>
      </c>
      <c r="BL16" s="2">
        <v>430.51080000000002</v>
      </c>
      <c r="BM16" s="1">
        <v>38503</v>
      </c>
      <c r="BN16" s="2">
        <v>1059.8209999999999</v>
      </c>
      <c r="BO16" s="1">
        <v>38595</v>
      </c>
      <c r="BP16" s="2">
        <v>129.19999999999999</v>
      </c>
    </row>
    <row r="17" spans="1:68" x14ac:dyDescent="0.25">
      <c r="A17" s="1">
        <v>37011</v>
      </c>
      <c r="B17" s="2">
        <v>1131.7639999999999</v>
      </c>
      <c r="C17" s="1">
        <v>37011</v>
      </c>
      <c r="D17" s="2">
        <v>109.1948</v>
      </c>
      <c r="E17" s="1">
        <v>37011</v>
      </c>
      <c r="F17" s="2">
        <v>118.95</v>
      </c>
      <c r="G17" s="1">
        <v>37011</v>
      </c>
      <c r="H17" s="2">
        <v>107.05240000000001</v>
      </c>
      <c r="I17" s="1">
        <v>37042</v>
      </c>
      <c r="J17" s="2">
        <v>103.10290000000001</v>
      </c>
      <c r="K17" s="1">
        <v>37011</v>
      </c>
      <c r="L17" s="2">
        <v>101.0711</v>
      </c>
      <c r="M17" s="1">
        <v>37011</v>
      </c>
      <c r="N17" s="2">
        <v>104.1262</v>
      </c>
      <c r="O17" s="1">
        <v>37042</v>
      </c>
      <c r="P17" s="2">
        <v>100.898</v>
      </c>
      <c r="Q17" s="1">
        <v>37011</v>
      </c>
      <c r="R17" s="2">
        <v>111.1031</v>
      </c>
      <c r="S17" s="1">
        <v>37011</v>
      </c>
      <c r="T17" s="2">
        <v>244.8569</v>
      </c>
      <c r="U17" s="1">
        <v>37011</v>
      </c>
      <c r="V17" s="2">
        <v>126.2688</v>
      </c>
      <c r="W17" s="1">
        <v>37011</v>
      </c>
      <c r="X17" s="2">
        <v>1003.01</v>
      </c>
      <c r="Y17" s="1">
        <v>37011</v>
      </c>
      <c r="Z17" s="2">
        <v>111.1</v>
      </c>
      <c r="AA17" s="1">
        <v>37376</v>
      </c>
      <c r="AB17" s="2">
        <v>94.331900000000005</v>
      </c>
      <c r="AC17" s="1">
        <v>37011</v>
      </c>
      <c r="AD17" s="2">
        <v>125.5202</v>
      </c>
      <c r="AE17" s="1">
        <v>37376</v>
      </c>
      <c r="AF17" s="2">
        <v>84.104900000000001</v>
      </c>
      <c r="AG17" s="1">
        <v>37376</v>
      </c>
      <c r="AH17" s="2">
        <v>100.88120000000001</v>
      </c>
      <c r="AI17" s="1">
        <v>37376</v>
      </c>
      <c r="AJ17" s="2">
        <v>107.3639</v>
      </c>
      <c r="AK17" s="1">
        <v>37011</v>
      </c>
      <c r="AL17" s="2">
        <v>2327.94</v>
      </c>
      <c r="AM17" s="1">
        <v>37011</v>
      </c>
      <c r="AN17" s="2">
        <v>618.65</v>
      </c>
      <c r="AO17" s="1">
        <v>37011</v>
      </c>
      <c r="AP17" s="2">
        <v>1021.94</v>
      </c>
      <c r="AQ17" s="1">
        <v>37011</v>
      </c>
      <c r="AR17" s="2">
        <v>557</v>
      </c>
      <c r="AS17" s="1">
        <v>37011</v>
      </c>
      <c r="AT17" s="2">
        <v>3769.98</v>
      </c>
      <c r="AU17" s="1">
        <v>37011</v>
      </c>
      <c r="AV17" s="2">
        <v>1793.13</v>
      </c>
      <c r="AW17" s="1">
        <v>38471</v>
      </c>
      <c r="AX17" s="2">
        <v>1556.45</v>
      </c>
      <c r="AY17" s="1">
        <v>38411</v>
      </c>
      <c r="AZ17" s="2">
        <v>131.30000000000001</v>
      </c>
      <c r="BA17" s="1">
        <v>42094</v>
      </c>
      <c r="BB17" s="2">
        <v>1115.21</v>
      </c>
      <c r="BC17" s="1">
        <v>37011</v>
      </c>
      <c r="BD17" s="2">
        <v>1.57</v>
      </c>
      <c r="BE17" s="1">
        <v>37011</v>
      </c>
      <c r="BF17" s="2">
        <v>48.3</v>
      </c>
      <c r="BG17" s="1">
        <v>37011</v>
      </c>
      <c r="BH17" s="2">
        <v>144.19999999999999</v>
      </c>
      <c r="BI17" s="1">
        <v>37011</v>
      </c>
      <c r="BJ17" s="2">
        <v>94.5</v>
      </c>
      <c r="BK17" s="1">
        <v>37011</v>
      </c>
      <c r="BL17" s="2">
        <v>428.98180000000002</v>
      </c>
      <c r="BM17" s="1">
        <v>38533</v>
      </c>
      <c r="BN17" s="2">
        <v>1073.8</v>
      </c>
      <c r="BO17" s="1">
        <v>38625</v>
      </c>
      <c r="BP17" s="2">
        <v>131.11000000000001</v>
      </c>
    </row>
    <row r="18" spans="1:68" x14ac:dyDescent="0.25">
      <c r="A18" s="1">
        <v>37042</v>
      </c>
      <c r="B18" s="2">
        <v>1143.4090000000001</v>
      </c>
      <c r="C18" s="1">
        <v>37042</v>
      </c>
      <c r="D18" s="2">
        <v>108.9336</v>
      </c>
      <c r="E18" s="1">
        <v>37042</v>
      </c>
      <c r="F18" s="2">
        <v>117.64100000000001</v>
      </c>
      <c r="G18" s="1">
        <v>37042</v>
      </c>
      <c r="H18" s="2">
        <v>107.8082</v>
      </c>
      <c r="I18" s="1">
        <v>37071</v>
      </c>
      <c r="J18" s="2">
        <v>103.47880000000001</v>
      </c>
      <c r="K18" s="1">
        <v>37042</v>
      </c>
      <c r="L18" s="2">
        <v>101.4278</v>
      </c>
      <c r="M18" s="1">
        <v>37042</v>
      </c>
      <c r="N18" s="2">
        <v>104.1225</v>
      </c>
      <c r="O18" s="1">
        <v>37071</v>
      </c>
      <c r="P18" s="2">
        <v>101.4431</v>
      </c>
      <c r="Q18" s="1">
        <v>37042</v>
      </c>
      <c r="R18" s="2">
        <v>112.07299999999999</v>
      </c>
      <c r="S18" s="1">
        <v>37042</v>
      </c>
      <c r="T18" s="2">
        <v>246.3151</v>
      </c>
      <c r="U18" s="1">
        <v>37042</v>
      </c>
      <c r="V18" s="2">
        <v>126.84739999999999</v>
      </c>
      <c r="W18" s="1">
        <v>37042</v>
      </c>
      <c r="X18" s="2">
        <v>1009.66</v>
      </c>
      <c r="Y18" s="1">
        <v>37042</v>
      </c>
      <c r="Z18" s="2">
        <v>116.85</v>
      </c>
      <c r="AA18" s="1">
        <v>37407</v>
      </c>
      <c r="AB18" s="2">
        <v>93.274600000000007</v>
      </c>
      <c r="AC18" s="1">
        <v>37042</v>
      </c>
      <c r="AD18" s="2">
        <v>122.9871</v>
      </c>
      <c r="AE18" s="1">
        <v>37407</v>
      </c>
      <c r="AF18" s="2">
        <v>87.342500000000001</v>
      </c>
      <c r="AG18" s="1">
        <v>37407</v>
      </c>
      <c r="AH18" s="2">
        <v>94.374899999999997</v>
      </c>
      <c r="AI18" s="1">
        <v>37407</v>
      </c>
      <c r="AJ18" s="2">
        <v>115.4255</v>
      </c>
      <c r="AK18" s="1">
        <v>37042</v>
      </c>
      <c r="AL18" s="2">
        <v>2297.6</v>
      </c>
      <c r="AM18" s="1">
        <v>37042</v>
      </c>
      <c r="AN18" s="2">
        <v>614.22</v>
      </c>
      <c r="AO18" s="1">
        <v>37042</v>
      </c>
      <c r="AP18" s="2">
        <v>1031.04</v>
      </c>
      <c r="AQ18" s="1">
        <v>37042</v>
      </c>
      <c r="AR18" s="2">
        <v>556.07000000000005</v>
      </c>
      <c r="AS18" s="1">
        <v>37042</v>
      </c>
      <c r="AT18" s="2">
        <v>3746.29</v>
      </c>
      <c r="AU18" s="1">
        <v>37042</v>
      </c>
      <c r="AV18" s="2">
        <v>1756.94</v>
      </c>
      <c r="AW18" s="1">
        <v>38503</v>
      </c>
      <c r="AX18" s="2">
        <v>1602.92</v>
      </c>
      <c r="AY18" s="1">
        <v>38442</v>
      </c>
      <c r="AZ18" s="2">
        <v>126.88</v>
      </c>
      <c r="BA18" s="1">
        <v>42124</v>
      </c>
      <c r="BB18" s="2">
        <v>1126.8800000000001</v>
      </c>
      <c r="BC18" s="1">
        <v>37042</v>
      </c>
      <c r="BD18" s="2">
        <v>1.49</v>
      </c>
      <c r="BE18" s="1">
        <v>37042</v>
      </c>
      <c r="BF18" s="2">
        <v>44.15</v>
      </c>
      <c r="BG18" s="1">
        <v>37042</v>
      </c>
      <c r="BH18" s="2">
        <v>172.5</v>
      </c>
      <c r="BI18" s="1">
        <v>37042</v>
      </c>
      <c r="BJ18" s="2">
        <v>90.25</v>
      </c>
      <c r="BK18" s="1">
        <v>37042</v>
      </c>
      <c r="BL18" s="2">
        <v>427.68450000000001</v>
      </c>
      <c r="BM18" s="1">
        <v>38562</v>
      </c>
      <c r="BN18" s="2">
        <v>1104.4469999999999</v>
      </c>
      <c r="BO18" s="1">
        <v>38656</v>
      </c>
      <c r="BP18" s="2">
        <v>128.63</v>
      </c>
    </row>
    <row r="19" spans="1:68" x14ac:dyDescent="0.25">
      <c r="A19" s="1">
        <v>37071</v>
      </c>
      <c r="B19" s="2">
        <v>1116.528</v>
      </c>
      <c r="C19" s="1">
        <v>37071</v>
      </c>
      <c r="D19" s="2">
        <v>110.7384</v>
      </c>
      <c r="E19" s="1">
        <v>37071</v>
      </c>
      <c r="F19" s="2">
        <v>119.32599999999999</v>
      </c>
      <c r="G19" s="1">
        <v>37071</v>
      </c>
      <c r="H19" s="2">
        <v>109.16160000000001</v>
      </c>
      <c r="I19" s="1">
        <v>37103</v>
      </c>
      <c r="J19" s="2">
        <v>103.253</v>
      </c>
      <c r="K19" s="1">
        <v>37071</v>
      </c>
      <c r="L19" s="2">
        <v>101.8901</v>
      </c>
      <c r="M19" s="1">
        <v>37071</v>
      </c>
      <c r="N19" s="2">
        <v>103.6885</v>
      </c>
      <c r="O19" s="1">
        <v>37103</v>
      </c>
      <c r="P19" s="2">
        <v>100.8653</v>
      </c>
      <c r="Q19" s="1">
        <v>37071</v>
      </c>
      <c r="R19" s="2">
        <v>112.51779999999999</v>
      </c>
      <c r="S19" s="1">
        <v>37071</v>
      </c>
      <c r="T19" s="2">
        <v>247.54740000000001</v>
      </c>
      <c r="U19" s="1">
        <v>37071</v>
      </c>
      <c r="V19" s="2">
        <v>127.1781</v>
      </c>
      <c r="W19" s="1">
        <v>37071</v>
      </c>
      <c r="X19" s="2">
        <v>1011.82</v>
      </c>
      <c r="Y19" s="1">
        <v>37071</v>
      </c>
      <c r="Z19" s="2">
        <v>124.4</v>
      </c>
      <c r="AA19" s="1">
        <v>37435</v>
      </c>
      <c r="AB19" s="2">
        <v>95.466899999999995</v>
      </c>
      <c r="AC19" s="1">
        <v>37071</v>
      </c>
      <c r="AD19" s="2">
        <v>119.4188</v>
      </c>
      <c r="AE19" s="1">
        <v>37435</v>
      </c>
      <c r="AF19" s="2">
        <v>89.676400000000001</v>
      </c>
      <c r="AG19" s="1">
        <v>37435</v>
      </c>
      <c r="AH19" s="2">
        <v>98.196200000000005</v>
      </c>
      <c r="AI19" s="1">
        <v>37435</v>
      </c>
      <c r="AJ19" s="2">
        <v>110.82859999999999</v>
      </c>
      <c r="AK19" s="1">
        <v>37071</v>
      </c>
      <c r="AL19" s="2">
        <v>2225.29</v>
      </c>
      <c r="AM19" s="1">
        <v>37071</v>
      </c>
      <c r="AN19" s="2">
        <v>596.1</v>
      </c>
      <c r="AO19" s="1">
        <v>37071</v>
      </c>
      <c r="AP19" s="2">
        <v>1007.88</v>
      </c>
      <c r="AQ19" s="1">
        <v>37071</v>
      </c>
      <c r="AR19" s="2">
        <v>546.91</v>
      </c>
      <c r="AS19" s="1">
        <v>37071</v>
      </c>
      <c r="AT19" s="2">
        <v>3640.6</v>
      </c>
      <c r="AU19" s="1">
        <v>37071</v>
      </c>
      <c r="AV19" s="2">
        <v>1695.5</v>
      </c>
      <c r="AW19" s="1">
        <v>38533</v>
      </c>
      <c r="AX19" s="2">
        <v>1650.12</v>
      </c>
      <c r="AY19" s="1">
        <v>38471</v>
      </c>
      <c r="AZ19" s="2">
        <v>122.31</v>
      </c>
      <c r="BA19" s="1">
        <v>42153</v>
      </c>
      <c r="BB19" s="2">
        <v>1143.29</v>
      </c>
      <c r="BC19" s="1">
        <v>37071</v>
      </c>
      <c r="BD19" s="2">
        <v>1.49</v>
      </c>
      <c r="BE19" s="1">
        <v>37071</v>
      </c>
      <c r="BF19" s="2">
        <v>58.6</v>
      </c>
      <c r="BG19" s="1">
        <v>37071</v>
      </c>
      <c r="BH19" s="2">
        <v>176.65</v>
      </c>
      <c r="BI19" s="1">
        <v>37071</v>
      </c>
      <c r="BJ19" s="2">
        <v>84.5</v>
      </c>
      <c r="BK19" s="1">
        <v>37071</v>
      </c>
      <c r="BL19" s="2">
        <v>423.7706</v>
      </c>
      <c r="BM19" s="1">
        <v>38595</v>
      </c>
      <c r="BN19" s="2">
        <v>1112.402</v>
      </c>
      <c r="BO19" s="1">
        <v>38686</v>
      </c>
      <c r="BP19" s="2">
        <v>132.55000000000001</v>
      </c>
    </row>
    <row r="20" spans="1:68" x14ac:dyDescent="0.25">
      <c r="A20" s="1">
        <v>37103</v>
      </c>
      <c r="B20" s="2">
        <v>1084.1099999999999</v>
      </c>
      <c r="C20" s="1">
        <v>37103</v>
      </c>
      <c r="D20" s="2">
        <v>109.7617</v>
      </c>
      <c r="E20" s="1">
        <v>37103</v>
      </c>
      <c r="F20" s="2">
        <v>120.226</v>
      </c>
      <c r="G20" s="1">
        <v>37103</v>
      </c>
      <c r="H20" s="2">
        <v>110.61</v>
      </c>
      <c r="I20" s="1">
        <v>37134</v>
      </c>
      <c r="J20" s="2">
        <v>103.61490000000001</v>
      </c>
      <c r="K20" s="1">
        <v>37103</v>
      </c>
      <c r="L20" s="2">
        <v>102.9996</v>
      </c>
      <c r="M20" s="1">
        <v>37103</v>
      </c>
      <c r="N20" s="2">
        <v>104.62090000000001</v>
      </c>
      <c r="O20" s="1">
        <v>37134</v>
      </c>
      <c r="P20" s="2">
        <v>100.74850000000001</v>
      </c>
      <c r="Q20" s="1">
        <v>37103</v>
      </c>
      <c r="R20" s="2">
        <v>111.3001</v>
      </c>
      <c r="S20" s="1">
        <v>37103</v>
      </c>
      <c r="T20" s="2">
        <v>251.2097</v>
      </c>
      <c r="U20" s="1">
        <v>37103</v>
      </c>
      <c r="V20" s="2">
        <v>129.6635</v>
      </c>
      <c r="W20" s="1">
        <v>37103</v>
      </c>
      <c r="X20" s="2">
        <v>1029.79</v>
      </c>
      <c r="Y20" s="1">
        <v>37103</v>
      </c>
      <c r="Z20" s="2">
        <v>124.1</v>
      </c>
      <c r="AA20" s="1">
        <v>37468</v>
      </c>
      <c r="AB20" s="2">
        <v>94.148300000000006</v>
      </c>
      <c r="AC20" s="1">
        <v>37103</v>
      </c>
      <c r="AD20" s="2">
        <v>120.4211</v>
      </c>
      <c r="AE20" s="1">
        <v>37468</v>
      </c>
      <c r="AF20" s="2">
        <v>94.045199999999994</v>
      </c>
      <c r="AG20" s="1">
        <v>37468</v>
      </c>
      <c r="AH20" s="2">
        <v>97.144099999999995</v>
      </c>
      <c r="AI20" s="1">
        <v>37468</v>
      </c>
      <c r="AJ20" s="2">
        <v>106.4777</v>
      </c>
      <c r="AK20" s="1">
        <v>37103</v>
      </c>
      <c r="AL20" s="2">
        <v>2195.5500000000002</v>
      </c>
      <c r="AM20" s="1">
        <v>37103</v>
      </c>
      <c r="AN20" s="2">
        <v>602.07000000000005</v>
      </c>
      <c r="AO20" s="1">
        <v>37103</v>
      </c>
      <c r="AP20" s="2">
        <v>1012.01</v>
      </c>
      <c r="AQ20" s="1">
        <v>37103</v>
      </c>
      <c r="AR20" s="2">
        <v>539.44000000000005</v>
      </c>
      <c r="AS20" s="1">
        <v>37103</v>
      </c>
      <c r="AT20" s="2">
        <v>3596.9</v>
      </c>
      <c r="AU20" s="1">
        <v>37103</v>
      </c>
      <c r="AV20" s="2">
        <v>1670.33</v>
      </c>
      <c r="AW20" s="1">
        <v>38562</v>
      </c>
      <c r="AX20" s="2">
        <v>1664.59</v>
      </c>
      <c r="AY20" s="1">
        <v>38503</v>
      </c>
      <c r="AZ20" s="2">
        <v>124.47</v>
      </c>
      <c r="BA20" s="1">
        <v>42185</v>
      </c>
      <c r="BB20" s="2">
        <v>1146.32</v>
      </c>
      <c r="BC20" s="1">
        <v>37103</v>
      </c>
      <c r="BD20" s="2">
        <v>1.49</v>
      </c>
      <c r="BE20" s="1">
        <v>37103</v>
      </c>
      <c r="BF20" s="2">
        <v>49.85</v>
      </c>
      <c r="BG20" s="1">
        <v>37103</v>
      </c>
      <c r="BH20" s="2">
        <v>154.1</v>
      </c>
      <c r="BI20" s="1">
        <v>37103</v>
      </c>
      <c r="BJ20" s="2">
        <v>95.85</v>
      </c>
      <c r="BK20" s="1">
        <v>37103</v>
      </c>
      <c r="BL20" s="2">
        <v>434.46010000000001</v>
      </c>
      <c r="BM20" s="1">
        <v>38625</v>
      </c>
      <c r="BN20" s="2">
        <v>1136.942</v>
      </c>
      <c r="BO20" s="1">
        <v>38716</v>
      </c>
      <c r="BP20" s="2">
        <v>134.93</v>
      </c>
    </row>
    <row r="21" spans="1:68" x14ac:dyDescent="0.25">
      <c r="A21" s="1">
        <v>37134</v>
      </c>
      <c r="B21" s="2">
        <v>1115.0429999999999</v>
      </c>
      <c r="C21" s="1">
        <v>37134</v>
      </c>
      <c r="D21" s="2">
        <v>109.23609999999999</v>
      </c>
      <c r="E21" s="1">
        <v>37134</v>
      </c>
      <c r="F21" s="2">
        <v>121.208</v>
      </c>
      <c r="G21" s="1">
        <v>37134</v>
      </c>
      <c r="H21" s="2">
        <v>112.3301</v>
      </c>
      <c r="I21" s="1">
        <v>37162</v>
      </c>
      <c r="J21" s="2">
        <v>105.4657</v>
      </c>
      <c r="K21" s="1">
        <v>37134</v>
      </c>
      <c r="L21" s="2">
        <v>105.5681</v>
      </c>
      <c r="M21" s="1">
        <v>37134</v>
      </c>
      <c r="N21" s="2">
        <v>106.1765</v>
      </c>
      <c r="O21" s="1">
        <v>37162</v>
      </c>
      <c r="P21" s="2">
        <v>101.8553</v>
      </c>
      <c r="Q21" s="1">
        <v>37134</v>
      </c>
      <c r="R21" s="2">
        <v>110.34050000000001</v>
      </c>
      <c r="S21" s="1">
        <v>37134</v>
      </c>
      <c r="T21" s="2">
        <v>253.5504</v>
      </c>
      <c r="U21" s="1">
        <v>37134</v>
      </c>
      <c r="V21" s="2">
        <v>131.82140000000001</v>
      </c>
      <c r="W21" s="1">
        <v>37134</v>
      </c>
      <c r="X21" s="2">
        <v>1038.8699999999999</v>
      </c>
      <c r="Y21" s="1">
        <v>37134</v>
      </c>
      <c r="Z21" s="2">
        <v>120.3</v>
      </c>
      <c r="AA21" s="1">
        <v>37498</v>
      </c>
      <c r="AB21" s="2">
        <v>98.263099999999994</v>
      </c>
      <c r="AC21" s="1">
        <v>37134</v>
      </c>
      <c r="AD21" s="2">
        <v>120.2834</v>
      </c>
      <c r="AE21" s="1">
        <v>37498</v>
      </c>
      <c r="AF21" s="2">
        <v>96.182500000000005</v>
      </c>
      <c r="AG21" s="1">
        <v>37498</v>
      </c>
      <c r="AH21" s="2">
        <v>106.0159</v>
      </c>
      <c r="AI21" s="1">
        <v>37498</v>
      </c>
      <c r="AJ21" s="2">
        <v>107.36620000000001</v>
      </c>
      <c r="AK21" s="1">
        <v>37134</v>
      </c>
      <c r="AL21" s="2">
        <v>2089.84</v>
      </c>
      <c r="AM21" s="1">
        <v>37134</v>
      </c>
      <c r="AN21" s="2">
        <v>568.29</v>
      </c>
      <c r="AO21" s="1">
        <v>37134</v>
      </c>
      <c r="AP21" s="2">
        <v>999.02</v>
      </c>
      <c r="AQ21" s="1">
        <v>37134</v>
      </c>
      <c r="AR21" s="2">
        <v>531.46</v>
      </c>
      <c r="AS21" s="1">
        <v>37134</v>
      </c>
      <c r="AT21" s="2">
        <v>3468.77</v>
      </c>
      <c r="AU21" s="1">
        <v>37134</v>
      </c>
      <c r="AV21" s="2">
        <v>1567.29</v>
      </c>
      <c r="AW21" s="1">
        <v>38595</v>
      </c>
      <c r="AX21" s="2">
        <v>1722.11</v>
      </c>
      <c r="AY21" s="1">
        <v>38533</v>
      </c>
      <c r="AZ21" s="2">
        <v>129.65</v>
      </c>
      <c r="BA21" s="1">
        <v>42216</v>
      </c>
      <c r="BB21" s="2">
        <v>1149.71</v>
      </c>
      <c r="BC21" s="1">
        <v>37134</v>
      </c>
      <c r="BD21" s="2">
        <v>1.5</v>
      </c>
      <c r="BE21" s="1">
        <v>37134</v>
      </c>
      <c r="BF21" s="2">
        <v>46.7</v>
      </c>
      <c r="BG21" s="1">
        <v>37134</v>
      </c>
      <c r="BH21" s="2">
        <v>146.5</v>
      </c>
      <c r="BI21" s="1">
        <v>37134</v>
      </c>
      <c r="BJ21" s="2">
        <v>102.05</v>
      </c>
      <c r="BK21" s="1">
        <v>37134</v>
      </c>
      <c r="BL21" s="2">
        <v>450.79669999999999</v>
      </c>
      <c r="BM21" s="1">
        <v>38656</v>
      </c>
      <c r="BN21" s="2">
        <v>1112.779</v>
      </c>
      <c r="BO21" s="1">
        <v>38748</v>
      </c>
      <c r="BP21" s="2">
        <v>135.66999999999999</v>
      </c>
    </row>
    <row r="22" spans="1:68" x14ac:dyDescent="0.25">
      <c r="A22" s="1">
        <v>37162</v>
      </c>
      <c r="B22" s="2">
        <v>1160.06</v>
      </c>
      <c r="C22" s="1">
        <v>37162</v>
      </c>
      <c r="D22" s="2">
        <v>107.2034</v>
      </c>
      <c r="E22" s="1">
        <v>37162</v>
      </c>
      <c r="F22" s="2">
        <v>117.971</v>
      </c>
      <c r="G22" s="1">
        <v>37162</v>
      </c>
      <c r="H22" s="2">
        <v>108.661</v>
      </c>
      <c r="I22" s="1">
        <v>37195</v>
      </c>
      <c r="J22" s="2">
        <v>105.9824</v>
      </c>
      <c r="K22" s="1">
        <v>37162</v>
      </c>
      <c r="L22" s="2">
        <v>111.88379999999999</v>
      </c>
      <c r="M22" s="1">
        <v>37162</v>
      </c>
      <c r="N22" s="2">
        <v>107.97320000000001</v>
      </c>
      <c r="O22" s="1">
        <v>37195</v>
      </c>
      <c r="P22" s="2">
        <v>102.2135</v>
      </c>
      <c r="Q22" s="1">
        <v>37162</v>
      </c>
      <c r="R22" s="2">
        <v>110.7893</v>
      </c>
      <c r="S22" s="1">
        <v>37162</v>
      </c>
      <c r="T22" s="2">
        <v>255.58879999999999</v>
      </c>
      <c r="U22" s="1">
        <v>37162</v>
      </c>
      <c r="V22" s="2">
        <v>131.4442</v>
      </c>
      <c r="W22" s="1">
        <v>37162</v>
      </c>
      <c r="X22" s="2">
        <v>1054.43</v>
      </c>
      <c r="Y22" s="1">
        <v>37162</v>
      </c>
      <c r="Z22" s="2">
        <v>179.35</v>
      </c>
      <c r="AA22" s="1">
        <v>37529</v>
      </c>
      <c r="AB22" s="2">
        <v>100.56570000000001</v>
      </c>
      <c r="AC22" s="1">
        <v>37162</v>
      </c>
      <c r="AD22" s="2">
        <v>112.99250000000001</v>
      </c>
      <c r="AE22" s="1">
        <v>37529</v>
      </c>
      <c r="AF22" s="2">
        <v>97.95</v>
      </c>
      <c r="AG22" s="1">
        <v>37529</v>
      </c>
      <c r="AH22" s="2">
        <v>111.437</v>
      </c>
      <c r="AI22" s="1">
        <v>37529</v>
      </c>
      <c r="AJ22" s="2">
        <v>110.77630000000001</v>
      </c>
      <c r="AK22" s="1">
        <v>37162</v>
      </c>
      <c r="AL22" s="2">
        <v>1905.41</v>
      </c>
      <c r="AM22" s="1">
        <v>37162</v>
      </c>
      <c r="AN22" s="2">
        <v>534.52</v>
      </c>
      <c r="AO22" s="1">
        <v>37162</v>
      </c>
      <c r="AP22" s="2">
        <v>945.55</v>
      </c>
      <c r="AQ22" s="1">
        <v>37162</v>
      </c>
      <c r="AR22" s="2">
        <v>485.94</v>
      </c>
      <c r="AS22" s="1">
        <v>37162</v>
      </c>
      <c r="AT22" s="2">
        <v>3146.62</v>
      </c>
      <c r="AU22" s="1">
        <v>37162</v>
      </c>
      <c r="AV22" s="2">
        <v>1437</v>
      </c>
      <c r="AW22" s="1">
        <v>38625</v>
      </c>
      <c r="AX22" s="2">
        <v>1746.9</v>
      </c>
      <c r="AY22" s="1">
        <v>38562</v>
      </c>
      <c r="AZ22" s="2">
        <v>134.94999999999999</v>
      </c>
      <c r="BA22" s="1">
        <v>42247</v>
      </c>
      <c r="BB22" s="2">
        <v>1114.1400000000001</v>
      </c>
      <c r="BC22" s="1">
        <v>37162</v>
      </c>
      <c r="BD22" s="2">
        <v>1.85</v>
      </c>
      <c r="BE22" s="1">
        <v>37162</v>
      </c>
      <c r="BF22" s="2">
        <v>81.650000000000006</v>
      </c>
      <c r="BG22" s="1">
        <v>37162</v>
      </c>
      <c r="BH22" s="2">
        <v>217.95</v>
      </c>
      <c r="BI22" s="1">
        <v>37162</v>
      </c>
      <c r="BJ22" s="2">
        <v>169.75</v>
      </c>
      <c r="BK22" s="1">
        <v>37162</v>
      </c>
      <c r="BL22" s="2">
        <v>454.09449999999998</v>
      </c>
      <c r="BM22" s="1">
        <v>38686</v>
      </c>
      <c r="BN22" s="2">
        <v>1148.8610000000001</v>
      </c>
      <c r="BO22" s="1">
        <v>38776</v>
      </c>
      <c r="BP22" s="2">
        <v>137.15</v>
      </c>
    </row>
    <row r="23" spans="1:68" x14ac:dyDescent="0.25">
      <c r="A23" s="1">
        <v>37195</v>
      </c>
      <c r="B23" s="2">
        <v>1243.7049999999999</v>
      </c>
      <c r="C23" s="1">
        <v>37195</v>
      </c>
      <c r="D23" s="2">
        <v>109.795</v>
      </c>
      <c r="E23" s="1">
        <v>37195</v>
      </c>
      <c r="F23" s="2">
        <v>119.663</v>
      </c>
      <c r="G23" s="1">
        <v>37195</v>
      </c>
      <c r="H23" s="2">
        <v>108.8847</v>
      </c>
      <c r="I23" s="1">
        <v>37225</v>
      </c>
      <c r="J23" s="2">
        <v>104.67910000000001</v>
      </c>
      <c r="K23" s="1">
        <v>37195</v>
      </c>
      <c r="L23" s="2">
        <v>110.15779999999999</v>
      </c>
      <c r="M23" s="1">
        <v>37195</v>
      </c>
      <c r="N23" s="2">
        <v>112.1229</v>
      </c>
      <c r="O23" s="1">
        <v>37225</v>
      </c>
      <c r="P23" s="2">
        <v>101.5598</v>
      </c>
      <c r="Q23" s="1">
        <v>37195</v>
      </c>
      <c r="R23" s="2">
        <v>110.8002</v>
      </c>
      <c r="S23" s="1">
        <v>37195</v>
      </c>
      <c r="T23" s="2">
        <v>260.238</v>
      </c>
      <c r="U23" s="1">
        <v>37195</v>
      </c>
      <c r="V23" s="2">
        <v>134.5667</v>
      </c>
      <c r="W23" s="1">
        <v>37195</v>
      </c>
      <c r="X23" s="2">
        <v>1069.01</v>
      </c>
      <c r="Y23" s="1">
        <v>37195</v>
      </c>
      <c r="Z23" s="2">
        <v>175.4</v>
      </c>
      <c r="AA23" s="1">
        <v>37560</v>
      </c>
      <c r="AB23" s="2">
        <v>99.938900000000004</v>
      </c>
      <c r="AC23" s="1">
        <v>37195</v>
      </c>
      <c r="AD23" s="2">
        <v>107.6204</v>
      </c>
      <c r="AE23" s="1">
        <v>37560</v>
      </c>
      <c r="AF23" s="2">
        <v>100.9511</v>
      </c>
      <c r="AG23" s="1">
        <v>37560</v>
      </c>
      <c r="AH23" s="2">
        <v>103.9888</v>
      </c>
      <c r="AI23" s="1">
        <v>37560</v>
      </c>
      <c r="AJ23" s="2">
        <v>109.0244</v>
      </c>
      <c r="AK23" s="1">
        <v>37195</v>
      </c>
      <c r="AL23" s="2">
        <v>1941.8</v>
      </c>
      <c r="AM23" s="1">
        <v>37195</v>
      </c>
      <c r="AN23" s="2">
        <v>551.35</v>
      </c>
      <c r="AO23" s="1">
        <v>37195</v>
      </c>
      <c r="AP23" s="2">
        <v>937.62</v>
      </c>
      <c r="AQ23" s="1">
        <v>37195</v>
      </c>
      <c r="AR23" s="2">
        <v>473.64</v>
      </c>
      <c r="AS23" s="1">
        <v>37195</v>
      </c>
      <c r="AT23" s="2">
        <v>3139</v>
      </c>
      <c r="AU23" s="1">
        <v>37195</v>
      </c>
      <c r="AV23" s="2">
        <v>1498.13</v>
      </c>
      <c r="AW23" s="1">
        <v>38656</v>
      </c>
      <c r="AX23" s="2">
        <v>1671.62</v>
      </c>
      <c r="AY23" s="1">
        <v>38595</v>
      </c>
      <c r="AZ23" s="2">
        <v>138.38999999999999</v>
      </c>
      <c r="BA23" s="1">
        <v>42277</v>
      </c>
      <c r="BB23" s="2">
        <v>1110.1500000000001</v>
      </c>
      <c r="BC23" s="1">
        <v>37195</v>
      </c>
      <c r="BD23" s="2">
        <v>1.9</v>
      </c>
      <c r="BE23" s="1">
        <v>37195</v>
      </c>
      <c r="BF23" s="2">
        <v>63.2</v>
      </c>
      <c r="BG23" s="1">
        <v>37195</v>
      </c>
      <c r="BH23" s="2">
        <v>217.65</v>
      </c>
      <c r="BI23" s="1">
        <v>37195</v>
      </c>
      <c r="BJ23" s="2">
        <v>126.6</v>
      </c>
      <c r="BK23" s="1">
        <v>37195</v>
      </c>
      <c r="BL23" s="2">
        <v>457.68470000000002</v>
      </c>
      <c r="BM23" s="1">
        <v>38716</v>
      </c>
      <c r="BN23" s="2">
        <v>1176.6890000000001</v>
      </c>
      <c r="BO23" s="1">
        <v>38807</v>
      </c>
      <c r="BP23" s="2">
        <v>139.6</v>
      </c>
    </row>
    <row r="24" spans="1:68" x14ac:dyDescent="0.25">
      <c r="A24" s="1">
        <v>37225</v>
      </c>
      <c r="B24" s="2">
        <v>1074.596</v>
      </c>
      <c r="C24" s="1">
        <v>37225</v>
      </c>
      <c r="D24" s="2">
        <v>112.89700000000001</v>
      </c>
      <c r="E24" s="1">
        <v>37225</v>
      </c>
      <c r="F24" s="2">
        <v>122.15900000000001</v>
      </c>
      <c r="G24" s="1">
        <v>37225</v>
      </c>
      <c r="H24" s="2">
        <v>111.8126</v>
      </c>
      <c r="I24" s="1">
        <v>37256</v>
      </c>
      <c r="J24" s="2">
        <v>105.0299</v>
      </c>
      <c r="K24" s="1">
        <v>37225</v>
      </c>
      <c r="L24" s="2">
        <v>107.84820000000001</v>
      </c>
      <c r="M24" s="1">
        <v>37225</v>
      </c>
      <c r="N24" s="2">
        <v>107.2807</v>
      </c>
      <c r="O24" s="1">
        <v>37256</v>
      </c>
      <c r="P24" s="2">
        <v>101.9375</v>
      </c>
      <c r="Q24" s="1">
        <v>37225</v>
      </c>
      <c r="R24" s="2">
        <v>110.9688</v>
      </c>
      <c r="S24" s="1">
        <v>37225</v>
      </c>
      <c r="T24" s="2">
        <v>258.06439999999998</v>
      </c>
      <c r="U24" s="1">
        <v>37225</v>
      </c>
      <c r="V24" s="2">
        <v>131.52539999999999</v>
      </c>
      <c r="W24" s="1">
        <v>37225</v>
      </c>
      <c r="X24" s="2">
        <v>1059.1300000000001</v>
      </c>
      <c r="Y24" s="1">
        <v>37225</v>
      </c>
      <c r="Z24" s="2">
        <v>188.7</v>
      </c>
      <c r="AA24" s="1">
        <v>37589</v>
      </c>
      <c r="AB24" s="2">
        <v>100.65989999999999</v>
      </c>
      <c r="AC24" s="1">
        <v>37225</v>
      </c>
      <c r="AD24" s="2">
        <v>109.29219999999999</v>
      </c>
      <c r="AE24" s="1">
        <v>37589</v>
      </c>
      <c r="AF24" s="2">
        <v>101.85639999999999</v>
      </c>
      <c r="AG24" s="1">
        <v>37589</v>
      </c>
      <c r="AH24" s="2">
        <v>103.9948</v>
      </c>
      <c r="AI24" s="1">
        <v>37589</v>
      </c>
      <c r="AJ24" s="2">
        <v>108.11369999999999</v>
      </c>
      <c r="AK24" s="1">
        <v>37225</v>
      </c>
      <c r="AL24" s="2">
        <v>2056.38</v>
      </c>
      <c r="AM24" s="1">
        <v>37225</v>
      </c>
      <c r="AN24" s="2">
        <v>586.12</v>
      </c>
      <c r="AO24" s="1">
        <v>37225</v>
      </c>
      <c r="AP24" s="2">
        <v>966.28</v>
      </c>
      <c r="AQ24" s="1">
        <v>37225</v>
      </c>
      <c r="AR24" s="2">
        <v>483.57</v>
      </c>
      <c r="AS24" s="1">
        <v>37225</v>
      </c>
      <c r="AT24" s="2">
        <v>3273.41</v>
      </c>
      <c r="AU24" s="1">
        <v>37225</v>
      </c>
      <c r="AV24" s="2">
        <v>1611.86</v>
      </c>
      <c r="AW24" s="1">
        <v>38686</v>
      </c>
      <c r="AX24" s="2">
        <v>1718.79</v>
      </c>
      <c r="AY24" s="1">
        <v>38625</v>
      </c>
      <c r="AZ24" s="2">
        <v>141.76</v>
      </c>
      <c r="BA24" s="1">
        <v>42307</v>
      </c>
      <c r="BB24" s="2">
        <v>1135.54</v>
      </c>
      <c r="BC24" s="1">
        <v>37225</v>
      </c>
      <c r="BD24" s="2">
        <v>1.68</v>
      </c>
      <c r="BE24" s="1">
        <v>37225</v>
      </c>
      <c r="BF24" s="2">
        <v>71.5</v>
      </c>
      <c r="BG24" s="1">
        <v>37225</v>
      </c>
      <c r="BH24" s="2">
        <v>290</v>
      </c>
      <c r="BI24" s="1">
        <v>37225</v>
      </c>
      <c r="BJ24" s="2">
        <v>131.4</v>
      </c>
      <c r="BK24" s="1">
        <v>37225</v>
      </c>
      <c r="BL24" s="2">
        <v>451.2543</v>
      </c>
      <c r="BM24" s="1">
        <v>38748</v>
      </c>
      <c r="BN24" s="2">
        <v>1227.518</v>
      </c>
      <c r="BO24" s="1">
        <v>38835</v>
      </c>
      <c r="BP24" s="2">
        <v>140.12</v>
      </c>
    </row>
    <row r="25" spans="1:68" x14ac:dyDescent="0.25">
      <c r="A25" s="1">
        <v>37256</v>
      </c>
      <c r="B25" s="2">
        <v>1116.0150000000001</v>
      </c>
      <c r="C25" s="1">
        <v>37256</v>
      </c>
      <c r="D25" s="2">
        <v>116.8058</v>
      </c>
      <c r="E25" s="1">
        <v>37256</v>
      </c>
      <c r="F25" s="2">
        <v>124.593</v>
      </c>
      <c r="G25" s="1">
        <v>37256</v>
      </c>
      <c r="H25" s="2">
        <v>113.3687</v>
      </c>
      <c r="I25" s="1">
        <v>37287</v>
      </c>
      <c r="J25" s="2">
        <v>104.64960000000001</v>
      </c>
      <c r="K25" s="1">
        <v>37256</v>
      </c>
      <c r="L25" s="2">
        <v>107.4151</v>
      </c>
      <c r="M25" s="1">
        <v>37256</v>
      </c>
      <c r="N25" s="2">
        <v>106.2385</v>
      </c>
      <c r="O25" s="1">
        <v>37287</v>
      </c>
      <c r="P25" s="2">
        <v>101.60769999999999</v>
      </c>
      <c r="Q25" s="1">
        <v>37256</v>
      </c>
      <c r="R25" s="2">
        <v>112.8579</v>
      </c>
      <c r="S25" s="1">
        <v>37256</v>
      </c>
      <c r="T25" s="2">
        <v>256.32740000000001</v>
      </c>
      <c r="U25" s="1">
        <v>37256</v>
      </c>
      <c r="V25" s="2">
        <v>131.0111</v>
      </c>
      <c r="W25" s="1">
        <v>37256</v>
      </c>
      <c r="X25" s="2">
        <v>1055.1400000000001</v>
      </c>
      <c r="Y25" s="1">
        <v>37256</v>
      </c>
      <c r="Z25" s="2">
        <v>182.7</v>
      </c>
      <c r="AA25" s="1">
        <v>37621</v>
      </c>
      <c r="AB25" s="2">
        <v>104.0394</v>
      </c>
      <c r="AC25" s="1">
        <v>37256</v>
      </c>
      <c r="AD25" s="2">
        <v>106.8532</v>
      </c>
      <c r="AE25" s="1">
        <v>37621</v>
      </c>
      <c r="AF25" s="2">
        <v>98.812600000000003</v>
      </c>
      <c r="AG25" s="1">
        <v>37621</v>
      </c>
      <c r="AH25" s="2">
        <v>116.44119999999999</v>
      </c>
      <c r="AI25" s="1">
        <v>37621</v>
      </c>
      <c r="AJ25" s="2">
        <v>118.20140000000001</v>
      </c>
      <c r="AK25" s="1">
        <v>37256</v>
      </c>
      <c r="AL25" s="2">
        <v>2069.1</v>
      </c>
      <c r="AM25" s="1">
        <v>37256</v>
      </c>
      <c r="AN25" s="2">
        <v>593.63</v>
      </c>
      <c r="AO25" s="1">
        <v>37256</v>
      </c>
      <c r="AP25" s="2">
        <v>971.21</v>
      </c>
      <c r="AQ25" s="1">
        <v>37256</v>
      </c>
      <c r="AR25" s="2">
        <v>490.99</v>
      </c>
      <c r="AS25" s="1">
        <v>37256</v>
      </c>
      <c r="AT25" s="2">
        <v>3297.76</v>
      </c>
      <c r="AU25" s="1">
        <v>37256</v>
      </c>
      <c r="AV25" s="2">
        <v>1619.74</v>
      </c>
      <c r="AW25" s="1">
        <v>38716</v>
      </c>
      <c r="AX25" s="2">
        <v>1810.84</v>
      </c>
      <c r="AY25" s="1">
        <v>38656</v>
      </c>
      <c r="AZ25" s="2">
        <v>138.25</v>
      </c>
      <c r="BA25" s="1">
        <v>42338</v>
      </c>
      <c r="BB25" s="2">
        <v>1140.8599999999999</v>
      </c>
      <c r="BC25" s="1">
        <v>37256</v>
      </c>
      <c r="BD25" s="2">
        <v>1.64</v>
      </c>
      <c r="BE25" s="1">
        <v>37256</v>
      </c>
      <c r="BF25" s="2">
        <v>56.3</v>
      </c>
      <c r="BG25" s="1">
        <v>37256</v>
      </c>
      <c r="BH25" s="2">
        <v>330.6</v>
      </c>
      <c r="BI25" s="1">
        <v>37256</v>
      </c>
      <c r="BJ25" s="2">
        <v>99.7</v>
      </c>
      <c r="BK25" s="1">
        <v>37256</v>
      </c>
      <c r="BL25" s="2">
        <v>439.63549999999998</v>
      </c>
      <c r="BM25" s="1">
        <v>38776</v>
      </c>
      <c r="BN25" s="2">
        <v>1236.5419999999999</v>
      </c>
      <c r="BO25" s="1">
        <v>38868</v>
      </c>
      <c r="BP25" s="2">
        <v>134.1</v>
      </c>
    </row>
    <row r="26" spans="1:68" x14ac:dyDescent="0.25">
      <c r="A26" s="1">
        <v>37287</v>
      </c>
      <c r="B26" s="2">
        <v>1108.057</v>
      </c>
      <c r="C26" s="1">
        <v>37287</v>
      </c>
      <c r="D26" s="2">
        <v>119.2413</v>
      </c>
      <c r="E26" s="1">
        <v>37287</v>
      </c>
      <c r="F26" s="2">
        <v>126.40600000000001</v>
      </c>
      <c r="G26" s="1">
        <v>37287</v>
      </c>
      <c r="H26" s="2">
        <v>115.724</v>
      </c>
      <c r="I26" s="1">
        <v>37315</v>
      </c>
      <c r="J26" s="2">
        <v>104.79649999999999</v>
      </c>
      <c r="K26" s="1">
        <v>37287</v>
      </c>
      <c r="L26" s="2">
        <v>107.6914</v>
      </c>
      <c r="M26" s="1">
        <v>37287</v>
      </c>
      <c r="N26" s="2">
        <v>105.7522</v>
      </c>
      <c r="O26" s="1">
        <v>37315</v>
      </c>
      <c r="P26" s="2">
        <v>101.6918</v>
      </c>
      <c r="Q26" s="1">
        <v>37287</v>
      </c>
      <c r="R26" s="2">
        <v>111.89830000000001</v>
      </c>
      <c r="S26" s="1">
        <v>37287</v>
      </c>
      <c r="T26" s="2">
        <v>257.53429999999997</v>
      </c>
      <c r="U26" s="1">
        <v>37287</v>
      </c>
      <c r="V26" s="2">
        <v>129.8048</v>
      </c>
      <c r="W26" s="1">
        <v>37287</v>
      </c>
      <c r="X26" s="2">
        <v>1064.9100000000001</v>
      </c>
      <c r="Y26" s="1">
        <v>37287</v>
      </c>
      <c r="Z26" s="2">
        <v>200.55</v>
      </c>
      <c r="AA26" s="1">
        <v>37652</v>
      </c>
      <c r="AB26" s="2">
        <v>112.2272</v>
      </c>
      <c r="AC26" s="1">
        <v>37287</v>
      </c>
      <c r="AD26" s="2">
        <v>106.9324</v>
      </c>
      <c r="AE26" s="1">
        <v>37652</v>
      </c>
      <c r="AF26" s="2">
        <v>101.1388</v>
      </c>
      <c r="AG26" s="1">
        <v>37652</v>
      </c>
      <c r="AH26" s="2">
        <v>130.98500000000001</v>
      </c>
      <c r="AI26" s="1">
        <v>37652</v>
      </c>
      <c r="AJ26" s="2">
        <v>123.1965</v>
      </c>
      <c r="AK26" s="1">
        <v>37287</v>
      </c>
      <c r="AL26" s="2">
        <v>2006.2</v>
      </c>
      <c r="AM26" s="1">
        <v>37287</v>
      </c>
      <c r="AN26" s="2">
        <v>589.85</v>
      </c>
      <c r="AO26" s="1">
        <v>37287</v>
      </c>
      <c r="AP26" s="2">
        <v>945.26</v>
      </c>
      <c r="AQ26" s="1">
        <v>37287</v>
      </c>
      <c r="AR26" s="2">
        <v>486.91</v>
      </c>
      <c r="AS26" s="1">
        <v>37287</v>
      </c>
      <c r="AT26" s="2">
        <v>3204.73</v>
      </c>
      <c r="AU26" s="1">
        <v>37287</v>
      </c>
      <c r="AV26" s="2">
        <v>1566.8</v>
      </c>
      <c r="AW26" s="1">
        <v>38748</v>
      </c>
      <c r="AX26" s="2">
        <v>1866.36</v>
      </c>
      <c r="AY26" s="1">
        <v>38686</v>
      </c>
      <c r="AZ26" s="2">
        <v>143.87</v>
      </c>
      <c r="BA26" s="1">
        <v>42369</v>
      </c>
      <c r="BB26" s="2">
        <v>1124.3399999999999</v>
      </c>
      <c r="BC26" s="1">
        <v>37287</v>
      </c>
      <c r="BD26" s="2">
        <v>1.61</v>
      </c>
      <c r="BE26" s="1">
        <v>37287</v>
      </c>
      <c r="BF26" s="2">
        <v>76.900000000000006</v>
      </c>
      <c r="BG26" s="1">
        <v>37287</v>
      </c>
      <c r="BH26" s="2">
        <v>322.89999999999998</v>
      </c>
      <c r="BI26" s="1">
        <v>37287</v>
      </c>
      <c r="BJ26" s="2">
        <v>121.5</v>
      </c>
      <c r="BK26" s="1">
        <v>37287</v>
      </c>
      <c r="BL26" s="2">
        <v>431.5052</v>
      </c>
      <c r="BM26" s="1">
        <v>38807</v>
      </c>
      <c r="BN26" s="2">
        <v>1260.1669999999999</v>
      </c>
      <c r="BO26" s="1">
        <v>38898</v>
      </c>
      <c r="BP26" s="2">
        <v>135.86000000000001</v>
      </c>
    </row>
    <row r="27" spans="1:68" x14ac:dyDescent="0.25">
      <c r="A27" s="1">
        <v>37315</v>
      </c>
      <c r="B27" s="2">
        <v>1064.5930000000001</v>
      </c>
      <c r="C27" s="1">
        <v>37315</v>
      </c>
      <c r="D27" s="2">
        <v>120.68429999999999</v>
      </c>
      <c r="E27" s="1">
        <v>37315</v>
      </c>
      <c r="F27" s="2">
        <v>128.309</v>
      </c>
      <c r="G27" s="1">
        <v>37315</v>
      </c>
      <c r="H27" s="2">
        <v>116.76300000000001</v>
      </c>
      <c r="I27" s="1">
        <v>37344</v>
      </c>
      <c r="J27" s="2">
        <v>104.4425</v>
      </c>
      <c r="K27" s="1">
        <v>37315</v>
      </c>
      <c r="L27" s="2">
        <v>107.88509999999999</v>
      </c>
      <c r="M27" s="1">
        <v>37315</v>
      </c>
      <c r="N27" s="2">
        <v>105.9628</v>
      </c>
      <c r="O27" s="1">
        <v>37344</v>
      </c>
      <c r="P27" s="2">
        <v>101.4588</v>
      </c>
      <c r="Q27" s="1">
        <v>37315</v>
      </c>
      <c r="R27" s="2">
        <v>112.1644</v>
      </c>
      <c r="S27" s="1">
        <v>37315</v>
      </c>
      <c r="T27" s="2">
        <v>258.90350000000001</v>
      </c>
      <c r="U27" s="1">
        <v>37315</v>
      </c>
      <c r="V27" s="2">
        <v>131.2107</v>
      </c>
      <c r="W27" s="1">
        <v>37315</v>
      </c>
      <c r="X27" s="2">
        <v>1077.03</v>
      </c>
      <c r="Y27" s="1">
        <v>37315</v>
      </c>
      <c r="Z27" s="2">
        <v>178.1</v>
      </c>
      <c r="AA27" s="1">
        <v>37680</v>
      </c>
      <c r="AB27" s="2">
        <v>115.6591</v>
      </c>
      <c r="AC27" s="1">
        <v>37315</v>
      </c>
      <c r="AD27" s="2">
        <v>109.5681</v>
      </c>
      <c r="AE27" s="1">
        <v>37680</v>
      </c>
      <c r="AF27" s="2">
        <v>100.64409999999999</v>
      </c>
      <c r="AG27" s="1">
        <v>37680</v>
      </c>
      <c r="AH27" s="2">
        <v>143.49809999999999</v>
      </c>
      <c r="AI27" s="1">
        <v>37680</v>
      </c>
      <c r="AJ27" s="2">
        <v>116.7997</v>
      </c>
      <c r="AK27" s="1">
        <v>37315</v>
      </c>
      <c r="AL27" s="2">
        <v>1988.56</v>
      </c>
      <c r="AM27" s="1">
        <v>37315</v>
      </c>
      <c r="AN27" s="2">
        <v>590.03</v>
      </c>
      <c r="AO27" s="1">
        <v>37315</v>
      </c>
      <c r="AP27" s="2">
        <v>959.88</v>
      </c>
      <c r="AQ27" s="1">
        <v>37315</v>
      </c>
      <c r="AR27" s="2">
        <v>485.62</v>
      </c>
      <c r="AS27" s="1">
        <v>37315</v>
      </c>
      <c r="AT27" s="2">
        <v>3141.61</v>
      </c>
      <c r="AU27" s="1">
        <v>37315</v>
      </c>
      <c r="AV27" s="2">
        <v>1570.95</v>
      </c>
      <c r="AW27" s="1">
        <v>38776</v>
      </c>
      <c r="AX27" s="2">
        <v>1817.32</v>
      </c>
      <c r="AY27" s="1">
        <v>38716</v>
      </c>
      <c r="AZ27" s="2">
        <v>150.51</v>
      </c>
      <c r="BA27" s="1">
        <v>42398</v>
      </c>
      <c r="BB27" s="2">
        <v>1090.29</v>
      </c>
      <c r="BC27" s="1">
        <v>37315</v>
      </c>
      <c r="BD27" s="2">
        <v>1.65</v>
      </c>
      <c r="BE27" s="1">
        <v>37315</v>
      </c>
      <c r="BF27" s="2">
        <v>64.849999999999994</v>
      </c>
      <c r="BG27" s="1">
        <v>37315</v>
      </c>
      <c r="BH27" s="2">
        <v>320.39999999999998</v>
      </c>
      <c r="BI27" s="1">
        <v>37315</v>
      </c>
      <c r="BJ27" s="2">
        <v>108.45</v>
      </c>
      <c r="BK27" s="1">
        <v>37315</v>
      </c>
      <c r="BL27" s="2">
        <v>433.74079999999998</v>
      </c>
      <c r="BM27" s="1">
        <v>38835</v>
      </c>
      <c r="BN27" s="2">
        <v>1307.575</v>
      </c>
      <c r="BO27" s="1">
        <v>38929</v>
      </c>
      <c r="BP27" s="2">
        <v>134.37</v>
      </c>
    </row>
    <row r="28" spans="1:68" x14ac:dyDescent="0.25">
      <c r="A28" s="1">
        <v>37344</v>
      </c>
      <c r="B28" s="2">
        <v>1067.9649999999999</v>
      </c>
      <c r="C28" s="1">
        <v>37344</v>
      </c>
      <c r="D28" s="2">
        <v>124.9847</v>
      </c>
      <c r="E28" s="1">
        <v>37344</v>
      </c>
      <c r="F28" s="2">
        <v>131.47300000000001</v>
      </c>
      <c r="G28" s="1">
        <v>37344</v>
      </c>
      <c r="H28" s="2">
        <v>120.28660000000001</v>
      </c>
      <c r="I28" s="1">
        <v>37376</v>
      </c>
      <c r="J28" s="2">
        <v>104.87179999999999</v>
      </c>
      <c r="K28" s="1">
        <v>37344</v>
      </c>
      <c r="L28" s="2">
        <v>106.8832</v>
      </c>
      <c r="M28" s="1">
        <v>37344</v>
      </c>
      <c r="N28" s="2">
        <v>104.88420000000001</v>
      </c>
      <c r="O28" s="1">
        <v>37376</v>
      </c>
      <c r="P28" s="2">
        <v>102.40900000000001</v>
      </c>
      <c r="Q28" s="1">
        <v>37344</v>
      </c>
      <c r="R28" s="2">
        <v>112.52330000000001</v>
      </c>
      <c r="S28" s="1">
        <v>37344</v>
      </c>
      <c r="T28" s="2">
        <v>256.16419999999999</v>
      </c>
      <c r="U28" s="1">
        <v>37344</v>
      </c>
      <c r="V28" s="2">
        <v>131.55109999999999</v>
      </c>
      <c r="W28" s="1">
        <v>37344</v>
      </c>
      <c r="X28" s="2">
        <v>1065.6300000000001</v>
      </c>
      <c r="Y28" s="1">
        <v>37344</v>
      </c>
      <c r="Z28" s="2">
        <v>181.35</v>
      </c>
      <c r="AA28" s="1">
        <v>37711</v>
      </c>
      <c r="AB28" s="2">
        <v>107.9743</v>
      </c>
      <c r="AC28" s="1">
        <v>37344</v>
      </c>
      <c r="AD28" s="2">
        <v>119.6307</v>
      </c>
      <c r="AE28" s="1">
        <v>37711</v>
      </c>
      <c r="AF28" s="2">
        <v>98.664299999999997</v>
      </c>
      <c r="AG28" s="1">
        <v>37711</v>
      </c>
      <c r="AH28" s="2">
        <v>127.50449999999999</v>
      </c>
      <c r="AI28" s="1">
        <v>37711</v>
      </c>
      <c r="AJ28" s="2">
        <v>112.66970000000001</v>
      </c>
      <c r="AK28" s="1">
        <v>37344</v>
      </c>
      <c r="AL28" s="2">
        <v>2076.16</v>
      </c>
      <c r="AM28" s="1">
        <v>37344</v>
      </c>
      <c r="AN28" s="2">
        <v>604.51</v>
      </c>
      <c r="AO28" s="1">
        <v>37344</v>
      </c>
      <c r="AP28" s="2">
        <v>989.51</v>
      </c>
      <c r="AQ28" s="1">
        <v>37344</v>
      </c>
      <c r="AR28" s="2">
        <v>505.92</v>
      </c>
      <c r="AS28" s="1">
        <v>37344</v>
      </c>
      <c r="AT28" s="2">
        <v>3345.32</v>
      </c>
      <c r="AU28" s="1">
        <v>37344</v>
      </c>
      <c r="AV28" s="2">
        <v>1606.6</v>
      </c>
      <c r="AW28" s="1">
        <v>38807</v>
      </c>
      <c r="AX28" s="2">
        <v>1819.46</v>
      </c>
      <c r="AY28" s="1">
        <v>38748</v>
      </c>
      <c r="AZ28" s="2">
        <v>157.53</v>
      </c>
      <c r="BA28" s="1">
        <v>42429</v>
      </c>
      <c r="BB28" s="2">
        <v>1088.3</v>
      </c>
      <c r="BC28" s="1">
        <v>37344</v>
      </c>
      <c r="BD28" s="2">
        <v>1.57</v>
      </c>
      <c r="BE28" s="1">
        <v>37344</v>
      </c>
      <c r="BF28" s="2">
        <v>68.3</v>
      </c>
      <c r="BG28" s="1">
        <v>37344</v>
      </c>
      <c r="BH28" s="2">
        <v>364.95</v>
      </c>
      <c r="BI28" s="1">
        <v>37344</v>
      </c>
      <c r="BJ28" s="2">
        <v>105.2</v>
      </c>
      <c r="BK28" s="1">
        <v>37344</v>
      </c>
      <c r="BL28" s="2">
        <v>432.5471</v>
      </c>
      <c r="BM28" s="1">
        <v>38868</v>
      </c>
      <c r="BN28" s="2">
        <v>1268.577</v>
      </c>
      <c r="BO28" s="1">
        <v>38960</v>
      </c>
      <c r="BP28" s="2">
        <v>140</v>
      </c>
    </row>
    <row r="29" spans="1:68" x14ac:dyDescent="0.25">
      <c r="A29" s="1">
        <v>37376</v>
      </c>
      <c r="B29" s="2">
        <v>1041.3789999999999</v>
      </c>
      <c r="C29" s="1">
        <v>37376</v>
      </c>
      <c r="D29" s="2">
        <v>126.2239</v>
      </c>
      <c r="E29" s="1">
        <v>37376</v>
      </c>
      <c r="F29" s="2">
        <v>132.15799999999999</v>
      </c>
      <c r="G29" s="1">
        <v>37376</v>
      </c>
      <c r="H29" s="2">
        <v>123.84010000000001</v>
      </c>
      <c r="I29" s="1">
        <v>37407</v>
      </c>
      <c r="J29" s="2">
        <v>105.8781</v>
      </c>
      <c r="K29" s="1">
        <v>37376</v>
      </c>
      <c r="L29" s="2">
        <v>106.7079</v>
      </c>
      <c r="M29" s="1">
        <v>37376</v>
      </c>
      <c r="N29" s="2">
        <v>104.0478</v>
      </c>
      <c r="O29" s="1">
        <v>37407</v>
      </c>
      <c r="P29" s="2">
        <v>103.2992</v>
      </c>
      <c r="Q29" s="1">
        <v>37376</v>
      </c>
      <c r="R29" s="2">
        <v>112.87990000000001</v>
      </c>
      <c r="S29" s="1">
        <v>37376</v>
      </c>
      <c r="T29" s="2">
        <v>259.61169999999998</v>
      </c>
      <c r="U29" s="1">
        <v>37376</v>
      </c>
      <c r="V29" s="2">
        <v>135.4008</v>
      </c>
      <c r="W29" s="1">
        <v>37376</v>
      </c>
      <c r="X29" s="2">
        <v>1085.8</v>
      </c>
      <c r="Y29" s="1">
        <v>37376</v>
      </c>
      <c r="Z29" s="2">
        <v>184.4</v>
      </c>
      <c r="AA29" s="1">
        <v>37741</v>
      </c>
      <c r="AB29" s="2">
        <v>107.58159999999999</v>
      </c>
      <c r="AC29" s="1">
        <v>37376</v>
      </c>
      <c r="AD29" s="2">
        <v>119.8633</v>
      </c>
      <c r="AE29" s="1">
        <v>37741</v>
      </c>
      <c r="AF29" s="2">
        <v>102.0552</v>
      </c>
      <c r="AG29" s="1">
        <v>37741</v>
      </c>
      <c r="AH29" s="2">
        <v>120.21939999999999</v>
      </c>
      <c r="AI29" s="1">
        <v>37741</v>
      </c>
      <c r="AJ29" s="2">
        <v>114.8509</v>
      </c>
      <c r="AK29" s="1">
        <v>37376</v>
      </c>
      <c r="AL29" s="2">
        <v>2005.59</v>
      </c>
      <c r="AM29" s="1">
        <v>37376</v>
      </c>
      <c r="AN29" s="2">
        <v>573.88</v>
      </c>
      <c r="AO29" s="1">
        <v>37376</v>
      </c>
      <c r="AP29" s="2">
        <v>987.53</v>
      </c>
      <c r="AQ29" s="1">
        <v>37376</v>
      </c>
      <c r="AR29" s="2">
        <v>504.89</v>
      </c>
      <c r="AS29" s="1">
        <v>37376</v>
      </c>
      <c r="AT29" s="2">
        <v>3253.55</v>
      </c>
      <c r="AU29" s="1">
        <v>37376</v>
      </c>
      <c r="AV29" s="2">
        <v>1540.75</v>
      </c>
      <c r="AW29" s="1">
        <v>38835</v>
      </c>
      <c r="AX29" s="2">
        <v>1855.88</v>
      </c>
      <c r="AY29" s="1">
        <v>38776</v>
      </c>
      <c r="AZ29" s="2">
        <v>157.57</v>
      </c>
      <c r="BA29" s="1">
        <v>42460</v>
      </c>
      <c r="BB29" s="2">
        <v>1117.45</v>
      </c>
      <c r="BC29" s="1">
        <v>37376</v>
      </c>
      <c r="BD29" s="2">
        <v>1.72</v>
      </c>
      <c r="BE29" s="1">
        <v>37376</v>
      </c>
      <c r="BF29" s="2">
        <v>65.599999999999994</v>
      </c>
      <c r="BG29" s="1">
        <v>37376</v>
      </c>
      <c r="BH29" s="2">
        <v>329.3</v>
      </c>
      <c r="BI29" s="1">
        <v>37376</v>
      </c>
      <c r="BJ29" s="2">
        <v>118.9</v>
      </c>
      <c r="BK29" s="1">
        <v>37376</v>
      </c>
      <c r="BL29" s="2">
        <v>448.02780000000001</v>
      </c>
      <c r="BM29" s="1">
        <v>38898</v>
      </c>
      <c r="BN29" s="2">
        <v>1270.4349999999999</v>
      </c>
      <c r="BO29" s="1">
        <v>38989</v>
      </c>
      <c r="BP29" s="2">
        <v>144.13999999999999</v>
      </c>
    </row>
    <row r="30" spans="1:68" x14ac:dyDescent="0.25">
      <c r="A30" s="1">
        <v>37407</v>
      </c>
      <c r="B30" s="2">
        <v>1093.825</v>
      </c>
      <c r="C30" s="1">
        <v>37407</v>
      </c>
      <c r="D30" s="2">
        <v>128.40790000000001</v>
      </c>
      <c r="E30" s="1">
        <v>37407</v>
      </c>
      <c r="F30" s="2">
        <v>137.416</v>
      </c>
      <c r="G30" s="1">
        <v>37407</v>
      </c>
      <c r="H30" s="2">
        <v>125.51730000000001</v>
      </c>
      <c r="I30" s="1">
        <v>37435</v>
      </c>
      <c r="J30" s="2">
        <v>106.7182</v>
      </c>
      <c r="K30" s="1">
        <v>37407</v>
      </c>
      <c r="L30" s="2">
        <v>106.72150000000001</v>
      </c>
      <c r="M30" s="1">
        <v>37407</v>
      </c>
      <c r="N30" s="2">
        <v>104.3387</v>
      </c>
      <c r="O30" s="1">
        <v>37435</v>
      </c>
      <c r="P30" s="2">
        <v>102.5104</v>
      </c>
      <c r="Q30" s="1">
        <v>37407</v>
      </c>
      <c r="R30" s="2">
        <v>115.61709999999999</v>
      </c>
      <c r="S30" s="1">
        <v>37407</v>
      </c>
      <c r="T30" s="2">
        <v>260.83210000000003</v>
      </c>
      <c r="U30" s="1">
        <v>37407</v>
      </c>
      <c r="V30" s="2">
        <v>138.34440000000001</v>
      </c>
      <c r="W30" s="1">
        <v>37407</v>
      </c>
      <c r="X30" s="2">
        <v>1093.68</v>
      </c>
      <c r="Y30" s="1">
        <v>37407</v>
      </c>
      <c r="Z30" s="2">
        <v>185.95</v>
      </c>
      <c r="AA30" s="1">
        <v>37771</v>
      </c>
      <c r="AB30" s="2">
        <v>113.92529999999999</v>
      </c>
      <c r="AC30" s="1">
        <v>37407</v>
      </c>
      <c r="AD30" s="2">
        <v>118.43129999999999</v>
      </c>
      <c r="AE30" s="1">
        <v>37771</v>
      </c>
      <c r="AF30" s="2">
        <v>104.49299999999999</v>
      </c>
      <c r="AG30" s="1">
        <v>37771</v>
      </c>
      <c r="AH30" s="2">
        <v>132.71459999999999</v>
      </c>
      <c r="AI30" s="1">
        <v>37771</v>
      </c>
      <c r="AJ30" s="2">
        <v>119.5471</v>
      </c>
      <c r="AK30" s="1">
        <v>37407</v>
      </c>
      <c r="AL30" s="2">
        <v>2008.93</v>
      </c>
      <c r="AM30" s="1">
        <v>37407</v>
      </c>
      <c r="AN30" s="2">
        <v>563.42999999999995</v>
      </c>
      <c r="AO30" s="1">
        <v>37407</v>
      </c>
      <c r="AP30" s="2">
        <v>1001.08</v>
      </c>
      <c r="AQ30" s="1">
        <v>37407</v>
      </c>
      <c r="AR30" s="2">
        <v>510.57</v>
      </c>
      <c r="AS30" s="1">
        <v>37407</v>
      </c>
      <c r="AT30" s="2">
        <v>3280.25</v>
      </c>
      <c r="AU30" s="1">
        <v>37407</v>
      </c>
      <c r="AV30" s="2">
        <v>1532.39</v>
      </c>
      <c r="AW30" s="1">
        <v>38868</v>
      </c>
      <c r="AX30" s="2">
        <v>1827.61</v>
      </c>
      <c r="AY30" s="1">
        <v>38807</v>
      </c>
      <c r="AZ30" s="2">
        <v>161.4</v>
      </c>
      <c r="BA30" s="1">
        <v>42489</v>
      </c>
      <c r="BB30" s="2">
        <v>1131.45</v>
      </c>
      <c r="BC30" s="1">
        <v>37407</v>
      </c>
      <c r="BD30" s="2">
        <v>1.49</v>
      </c>
      <c r="BE30" s="1">
        <v>37407</v>
      </c>
      <c r="BF30" s="2">
        <v>67.95</v>
      </c>
      <c r="BG30" s="1">
        <v>37407</v>
      </c>
      <c r="BH30" s="2">
        <v>326.3</v>
      </c>
      <c r="BI30" s="1">
        <v>37407</v>
      </c>
      <c r="BJ30" s="2">
        <v>129.65</v>
      </c>
      <c r="BK30" s="1">
        <v>37407</v>
      </c>
      <c r="BL30" s="2">
        <v>460.69909999999999</v>
      </c>
      <c r="BM30" s="1">
        <v>38929</v>
      </c>
      <c r="BN30" s="2">
        <v>1260.0740000000001</v>
      </c>
      <c r="BO30" s="1">
        <v>39021</v>
      </c>
      <c r="BP30" s="2">
        <v>148.82</v>
      </c>
    </row>
    <row r="31" spans="1:68" x14ac:dyDescent="0.25">
      <c r="A31" s="1">
        <v>37435</v>
      </c>
      <c r="B31" s="2">
        <v>1237.1659999999999</v>
      </c>
      <c r="C31" s="1">
        <v>37435</v>
      </c>
      <c r="D31" s="2">
        <v>123.7851</v>
      </c>
      <c r="E31" s="1">
        <v>37435</v>
      </c>
      <c r="F31" s="2">
        <v>136.98599999999999</v>
      </c>
      <c r="G31" s="1">
        <v>37435</v>
      </c>
      <c r="H31" s="2">
        <v>123.6096</v>
      </c>
      <c r="I31" s="1">
        <v>37468</v>
      </c>
      <c r="J31" s="2">
        <v>107.5047</v>
      </c>
      <c r="K31" s="1">
        <v>37435</v>
      </c>
      <c r="L31" s="2">
        <v>109.2998</v>
      </c>
      <c r="M31" s="1">
        <v>37435</v>
      </c>
      <c r="N31" s="2">
        <v>105.5551</v>
      </c>
      <c r="O31" s="1">
        <v>37468</v>
      </c>
      <c r="P31" s="2">
        <v>102.5249</v>
      </c>
      <c r="Q31" s="1">
        <v>37435</v>
      </c>
      <c r="R31" s="2">
        <v>119.589</v>
      </c>
      <c r="S31" s="1">
        <v>37435</v>
      </c>
      <c r="T31" s="2">
        <v>263.5455</v>
      </c>
      <c r="U31" s="1">
        <v>37435</v>
      </c>
      <c r="V31" s="2">
        <v>143.71610000000001</v>
      </c>
      <c r="W31" s="1">
        <v>37435</v>
      </c>
      <c r="X31" s="2">
        <v>1102.7</v>
      </c>
      <c r="Y31" s="1">
        <v>37435</v>
      </c>
      <c r="Z31" s="2">
        <v>201.7</v>
      </c>
      <c r="AA31" s="1">
        <v>37802</v>
      </c>
      <c r="AB31" s="2">
        <v>113.0172</v>
      </c>
      <c r="AC31" s="1">
        <v>37435</v>
      </c>
      <c r="AD31" s="2">
        <v>120.5303</v>
      </c>
      <c r="AE31" s="1">
        <v>37802</v>
      </c>
      <c r="AF31" s="2">
        <v>102.02070000000001</v>
      </c>
      <c r="AG31" s="1">
        <v>37802</v>
      </c>
      <c r="AH31" s="2">
        <v>136.7013</v>
      </c>
      <c r="AI31" s="1">
        <v>37802</v>
      </c>
      <c r="AJ31" s="2">
        <v>115.5826</v>
      </c>
      <c r="AK31" s="1">
        <v>37435</v>
      </c>
      <c r="AL31" s="2">
        <v>1886.69</v>
      </c>
      <c r="AM31" s="1">
        <v>37435</v>
      </c>
      <c r="AN31" s="2">
        <v>538.51</v>
      </c>
      <c r="AO31" s="1">
        <v>37435</v>
      </c>
      <c r="AP31" s="2">
        <v>965.9</v>
      </c>
      <c r="AQ31" s="1">
        <v>37435</v>
      </c>
      <c r="AR31" s="2">
        <v>490.72</v>
      </c>
      <c r="AS31" s="1">
        <v>37435</v>
      </c>
      <c r="AT31" s="2">
        <v>3071.11</v>
      </c>
      <c r="AU31" s="1">
        <v>37435</v>
      </c>
      <c r="AV31" s="2">
        <v>1443.76</v>
      </c>
      <c r="AW31" s="1">
        <v>38898</v>
      </c>
      <c r="AX31" s="2">
        <v>1810.24</v>
      </c>
      <c r="AY31" s="1">
        <v>38835</v>
      </c>
      <c r="AZ31" s="2">
        <v>162.35</v>
      </c>
      <c r="BA31" s="1">
        <v>42521</v>
      </c>
      <c r="BB31" s="2">
        <v>1146.3900000000001</v>
      </c>
      <c r="BC31" s="1">
        <v>37435</v>
      </c>
      <c r="BD31" s="2">
        <v>1.7</v>
      </c>
      <c r="BE31" s="1">
        <v>37435</v>
      </c>
      <c r="BF31" s="2">
        <v>83.35</v>
      </c>
      <c r="BG31" s="1">
        <v>37435</v>
      </c>
      <c r="BH31" s="2">
        <v>307.7</v>
      </c>
      <c r="BI31" s="1">
        <v>37435</v>
      </c>
      <c r="BJ31" s="2">
        <v>156.05000000000001</v>
      </c>
      <c r="BK31" s="1">
        <v>37435</v>
      </c>
      <c r="BL31" s="2">
        <v>482.94200000000001</v>
      </c>
      <c r="BM31" s="1">
        <v>38960</v>
      </c>
      <c r="BN31" s="2">
        <v>1293.508</v>
      </c>
      <c r="BO31" s="1">
        <v>39051</v>
      </c>
      <c r="BP31" s="2">
        <v>151.49</v>
      </c>
    </row>
    <row r="32" spans="1:68" x14ac:dyDescent="0.25">
      <c r="A32" s="1">
        <v>37468</v>
      </c>
      <c r="B32" s="2">
        <v>1327.989</v>
      </c>
      <c r="C32" s="1">
        <v>37468</v>
      </c>
      <c r="D32" s="2">
        <v>119.94759999999999</v>
      </c>
      <c r="E32" s="1">
        <v>37468</v>
      </c>
      <c r="F32" s="2">
        <v>133.452</v>
      </c>
      <c r="G32" s="1">
        <v>37468</v>
      </c>
      <c r="H32" s="2">
        <v>120.1651</v>
      </c>
      <c r="I32" s="1">
        <v>37498</v>
      </c>
      <c r="J32" s="2">
        <v>108.3308</v>
      </c>
      <c r="K32" s="1">
        <v>37468</v>
      </c>
      <c r="L32" s="2">
        <v>113.2715</v>
      </c>
      <c r="M32" s="1">
        <v>37468</v>
      </c>
      <c r="N32" s="2">
        <v>109.3253</v>
      </c>
      <c r="O32" s="1">
        <v>37498</v>
      </c>
      <c r="P32" s="2">
        <v>103.4723</v>
      </c>
      <c r="Q32" s="1">
        <v>37468</v>
      </c>
      <c r="R32" s="2">
        <v>117.7269</v>
      </c>
      <c r="S32" s="1">
        <v>37468</v>
      </c>
      <c r="T32" s="2">
        <v>266.30239999999998</v>
      </c>
      <c r="U32" s="1">
        <v>37468</v>
      </c>
      <c r="V32" s="2">
        <v>144.7843</v>
      </c>
      <c r="W32" s="1">
        <v>37468</v>
      </c>
      <c r="X32" s="2">
        <v>1115.32</v>
      </c>
      <c r="Y32" s="1">
        <v>37468</v>
      </c>
      <c r="Z32" s="2">
        <v>238.7</v>
      </c>
      <c r="AA32" s="1">
        <v>37833</v>
      </c>
      <c r="AB32" s="2">
        <v>115.77509999999999</v>
      </c>
      <c r="AC32" s="1">
        <v>37468</v>
      </c>
      <c r="AD32" s="2">
        <v>119.9252</v>
      </c>
      <c r="AE32" s="1">
        <v>37833</v>
      </c>
      <c r="AF32" s="2">
        <v>101.357</v>
      </c>
      <c r="AG32" s="1">
        <v>37833</v>
      </c>
      <c r="AH32" s="2">
        <v>137.26830000000001</v>
      </c>
      <c r="AI32" s="1">
        <v>37833</v>
      </c>
      <c r="AJ32" s="2">
        <v>122.1135</v>
      </c>
      <c r="AK32" s="1">
        <v>37468</v>
      </c>
      <c r="AL32" s="2">
        <v>1727.5</v>
      </c>
      <c r="AM32" s="1">
        <v>37468</v>
      </c>
      <c r="AN32" s="2">
        <v>499.71</v>
      </c>
      <c r="AO32" s="1">
        <v>37468</v>
      </c>
      <c r="AP32" s="2">
        <v>896.96</v>
      </c>
      <c r="AQ32" s="1">
        <v>37468</v>
      </c>
      <c r="AR32" s="2">
        <v>459.33</v>
      </c>
      <c r="AS32" s="1">
        <v>37468</v>
      </c>
      <c r="AT32" s="2">
        <v>2770.68</v>
      </c>
      <c r="AU32" s="1">
        <v>37468</v>
      </c>
      <c r="AV32" s="2">
        <v>1341.93</v>
      </c>
      <c r="AW32" s="1">
        <v>38929</v>
      </c>
      <c r="AX32" s="2">
        <v>1852.85</v>
      </c>
      <c r="AY32" s="1">
        <v>38868</v>
      </c>
      <c r="AZ32" s="2">
        <v>155.38</v>
      </c>
      <c r="BA32" s="1">
        <v>42551</v>
      </c>
      <c r="BB32" s="2">
        <v>1146.6600000000001</v>
      </c>
      <c r="BC32" s="1">
        <v>37468</v>
      </c>
      <c r="BD32" s="2">
        <v>2.1</v>
      </c>
      <c r="BE32" s="1">
        <v>37468</v>
      </c>
      <c r="BF32" s="2">
        <v>118.1</v>
      </c>
      <c r="BG32" s="1">
        <v>37468</v>
      </c>
      <c r="BH32" s="2">
        <v>271.60000000000002</v>
      </c>
      <c r="BI32" s="1">
        <v>37468</v>
      </c>
      <c r="BJ32" s="2">
        <v>209.2</v>
      </c>
      <c r="BK32" s="1">
        <v>37468</v>
      </c>
      <c r="BL32" s="2">
        <v>487.68979999999999</v>
      </c>
      <c r="BM32" s="1">
        <v>38989</v>
      </c>
      <c r="BN32" s="2">
        <v>1315.194</v>
      </c>
      <c r="BO32" s="1">
        <v>39080</v>
      </c>
      <c r="BP32" s="2">
        <v>153.30000000000001</v>
      </c>
    </row>
    <row r="33" spans="1:68" x14ac:dyDescent="0.25">
      <c r="A33" s="1">
        <v>37498</v>
      </c>
      <c r="B33" s="2">
        <v>1379.2929999999999</v>
      </c>
      <c r="C33" s="1">
        <v>37498</v>
      </c>
      <c r="D33" s="2">
        <v>122.1644</v>
      </c>
      <c r="E33" s="1">
        <v>37498</v>
      </c>
      <c r="F33" s="2">
        <v>135.251</v>
      </c>
      <c r="G33" s="1">
        <v>37498</v>
      </c>
      <c r="H33" s="2">
        <v>124.4599</v>
      </c>
      <c r="I33" s="1">
        <v>37529</v>
      </c>
      <c r="J33" s="2">
        <v>109.8181</v>
      </c>
      <c r="K33" s="1">
        <v>37498</v>
      </c>
      <c r="L33" s="2">
        <v>113.0014</v>
      </c>
      <c r="M33" s="1">
        <v>37498</v>
      </c>
      <c r="N33" s="2">
        <v>112.4306</v>
      </c>
      <c r="O33" s="1">
        <v>37529</v>
      </c>
      <c r="P33" s="2">
        <v>104.07769999999999</v>
      </c>
      <c r="Q33" s="1">
        <v>37498</v>
      </c>
      <c r="R33" s="2">
        <v>117.2137</v>
      </c>
      <c r="S33" s="1">
        <v>37498</v>
      </c>
      <c r="T33" s="2">
        <v>270.12139999999999</v>
      </c>
      <c r="U33" s="1">
        <v>37498</v>
      </c>
      <c r="V33" s="2">
        <v>148.95570000000001</v>
      </c>
      <c r="W33" s="1">
        <v>37498</v>
      </c>
      <c r="X33" s="2">
        <v>1124.0899999999999</v>
      </c>
      <c r="Y33" s="1">
        <v>37498</v>
      </c>
      <c r="Z33" s="2">
        <v>198.90700000000001</v>
      </c>
      <c r="AA33" s="1">
        <v>37862</v>
      </c>
      <c r="AB33" s="2">
        <v>119.6407</v>
      </c>
      <c r="AC33" s="1">
        <v>37498</v>
      </c>
      <c r="AD33" s="2">
        <v>124.711</v>
      </c>
      <c r="AE33" s="1">
        <v>37862</v>
      </c>
      <c r="AF33" s="2">
        <v>107.8013</v>
      </c>
      <c r="AG33" s="1">
        <v>37862</v>
      </c>
      <c r="AH33" s="2">
        <v>143.154</v>
      </c>
      <c r="AI33" s="1">
        <v>37862</v>
      </c>
      <c r="AJ33" s="2">
        <v>126.8378</v>
      </c>
      <c r="AK33" s="1">
        <v>37498</v>
      </c>
      <c r="AL33" s="2">
        <v>1730.45</v>
      </c>
      <c r="AM33" s="1">
        <v>37498</v>
      </c>
      <c r="AN33" s="2">
        <v>502.05</v>
      </c>
      <c r="AO33" s="1">
        <v>37498</v>
      </c>
      <c r="AP33" s="2">
        <v>906.5</v>
      </c>
      <c r="AQ33" s="1">
        <v>37498</v>
      </c>
      <c r="AR33" s="2">
        <v>461.3</v>
      </c>
      <c r="AS33" s="1">
        <v>37498</v>
      </c>
      <c r="AT33" s="2">
        <v>2781.02</v>
      </c>
      <c r="AU33" s="1">
        <v>37498</v>
      </c>
      <c r="AV33" s="2">
        <v>1341.51</v>
      </c>
      <c r="AW33" s="1">
        <v>38960</v>
      </c>
      <c r="AX33" s="2">
        <v>1892.91</v>
      </c>
      <c r="AY33" s="1">
        <v>38898</v>
      </c>
      <c r="AZ33" s="2">
        <v>155.21</v>
      </c>
      <c r="BA33" s="1">
        <v>42580</v>
      </c>
      <c r="BB33" s="2">
        <v>1166.78</v>
      </c>
      <c r="BC33" s="1">
        <v>37498</v>
      </c>
      <c r="BD33" s="2">
        <v>2.04</v>
      </c>
      <c r="BE33" s="1">
        <v>37498</v>
      </c>
      <c r="BF33" s="2">
        <v>93.936999999999998</v>
      </c>
      <c r="BG33" s="1">
        <v>37498</v>
      </c>
      <c r="BH33" s="2">
        <v>245.09899999999999</v>
      </c>
      <c r="BI33" s="1">
        <v>37498</v>
      </c>
      <c r="BJ33" s="2">
        <v>173.75700000000001</v>
      </c>
      <c r="BK33" s="1">
        <v>37498</v>
      </c>
      <c r="BL33" s="2">
        <v>496.20080000000002</v>
      </c>
      <c r="BM33" s="1">
        <v>39021</v>
      </c>
      <c r="BN33" s="2">
        <v>1364.8409999999999</v>
      </c>
      <c r="BO33" s="1">
        <v>39113</v>
      </c>
      <c r="BP33" s="2">
        <v>156.9</v>
      </c>
    </row>
    <row r="34" spans="1:68" x14ac:dyDescent="0.25">
      <c r="A34" s="1">
        <v>37529</v>
      </c>
      <c r="B34" s="2">
        <v>1459.846</v>
      </c>
      <c r="C34" s="1">
        <v>37529</v>
      </c>
      <c r="D34" s="2">
        <v>126.81659999999999</v>
      </c>
      <c r="E34" s="1">
        <v>37529</v>
      </c>
      <c r="F34" s="2">
        <v>136.61799999999999</v>
      </c>
      <c r="G34" s="1">
        <v>37529</v>
      </c>
      <c r="H34" s="2">
        <v>121.6627</v>
      </c>
      <c r="I34" s="1">
        <v>37560</v>
      </c>
      <c r="J34" s="2">
        <v>108.6198</v>
      </c>
      <c r="K34" s="1">
        <v>37529</v>
      </c>
      <c r="L34" s="2">
        <v>116.5027</v>
      </c>
      <c r="M34" s="1">
        <v>37529</v>
      </c>
      <c r="N34" s="2">
        <v>116.3998</v>
      </c>
      <c r="O34" s="1">
        <v>37560</v>
      </c>
      <c r="P34" s="2">
        <v>103.068</v>
      </c>
      <c r="Q34" s="1">
        <v>37529</v>
      </c>
      <c r="R34" s="2">
        <v>117.87520000000001</v>
      </c>
      <c r="S34" s="1">
        <v>37529</v>
      </c>
      <c r="T34" s="2">
        <v>273.74669999999998</v>
      </c>
      <c r="U34" s="1">
        <v>37529</v>
      </c>
      <c r="V34" s="2">
        <v>152.80439999999999</v>
      </c>
      <c r="W34" s="1">
        <v>37529</v>
      </c>
      <c r="X34" s="2">
        <v>1132.07</v>
      </c>
      <c r="Y34" s="1">
        <v>37529</v>
      </c>
      <c r="Z34" s="2">
        <v>190.62200000000001</v>
      </c>
      <c r="AA34" s="1">
        <v>37894</v>
      </c>
      <c r="AB34" s="2">
        <v>120.0852</v>
      </c>
      <c r="AC34" s="1">
        <v>37529</v>
      </c>
      <c r="AD34" s="2">
        <v>127.29430000000001</v>
      </c>
      <c r="AE34" s="1">
        <v>37894</v>
      </c>
      <c r="AF34" s="2">
        <v>113.1388</v>
      </c>
      <c r="AG34" s="1">
        <v>37894</v>
      </c>
      <c r="AH34" s="2">
        <v>135.44669999999999</v>
      </c>
      <c r="AI34" s="1">
        <v>37894</v>
      </c>
      <c r="AJ34" s="2">
        <v>129.07300000000001</v>
      </c>
      <c r="AK34" s="1">
        <v>37529</v>
      </c>
      <c r="AL34" s="2">
        <v>1539.93</v>
      </c>
      <c r="AM34" s="1">
        <v>37529</v>
      </c>
      <c r="AN34" s="2">
        <v>459.96</v>
      </c>
      <c r="AO34" s="1">
        <v>37529</v>
      </c>
      <c r="AP34" s="2">
        <v>834.48</v>
      </c>
      <c r="AQ34" s="1">
        <v>37529</v>
      </c>
      <c r="AR34" s="2">
        <v>439.24</v>
      </c>
      <c r="AS34" s="1">
        <v>37529</v>
      </c>
      <c r="AT34" s="2">
        <v>2444.8200000000002</v>
      </c>
      <c r="AU34" s="1">
        <v>37529</v>
      </c>
      <c r="AV34" s="2">
        <v>1208.31</v>
      </c>
      <c r="AW34" s="1">
        <v>38989</v>
      </c>
      <c r="AX34" s="2">
        <v>1863.15</v>
      </c>
      <c r="AY34" s="1">
        <v>38929</v>
      </c>
      <c r="AZ34" s="2">
        <v>154.49</v>
      </c>
      <c r="BA34" s="1">
        <v>42613</v>
      </c>
      <c r="BB34" s="2">
        <v>1177.3800000000001</v>
      </c>
      <c r="BC34" s="1">
        <v>37529</v>
      </c>
      <c r="BD34" s="2">
        <v>2.1800000000000002</v>
      </c>
      <c r="BE34" s="1">
        <v>37529</v>
      </c>
      <c r="BF34" s="2">
        <v>103.452</v>
      </c>
      <c r="BG34" s="1">
        <v>37529</v>
      </c>
      <c r="BH34" s="2">
        <v>203.952</v>
      </c>
      <c r="BI34" s="1">
        <v>37529</v>
      </c>
      <c r="BJ34" s="2">
        <v>210.53100000000001</v>
      </c>
      <c r="BK34" s="1">
        <v>37529</v>
      </c>
      <c r="BL34" s="2">
        <v>501.62</v>
      </c>
      <c r="BM34" s="1">
        <v>39051</v>
      </c>
      <c r="BN34" s="2">
        <v>1401.249</v>
      </c>
      <c r="BO34" s="1">
        <v>39141</v>
      </c>
      <c r="BP34" s="2">
        <v>157.41</v>
      </c>
    </row>
    <row r="35" spans="1:68" x14ac:dyDescent="0.25">
      <c r="A35" s="1">
        <v>37560</v>
      </c>
      <c r="B35" s="2">
        <v>1360.8440000000001</v>
      </c>
      <c r="C35" s="1">
        <v>37560</v>
      </c>
      <c r="D35" s="2">
        <v>129.44839999999999</v>
      </c>
      <c r="E35" s="1">
        <v>37560</v>
      </c>
      <c r="F35" s="2">
        <v>139.98400000000001</v>
      </c>
      <c r="G35" s="1">
        <v>37560</v>
      </c>
      <c r="H35" s="2">
        <v>124.5052</v>
      </c>
      <c r="I35" s="1">
        <v>37589</v>
      </c>
      <c r="J35" s="2">
        <v>108.0604</v>
      </c>
      <c r="K35" s="1">
        <v>37560</v>
      </c>
      <c r="L35" s="2">
        <v>113.5852</v>
      </c>
      <c r="M35" s="1">
        <v>37560</v>
      </c>
      <c r="N35" s="2">
        <v>114.50830000000001</v>
      </c>
      <c r="O35" s="1">
        <v>37589</v>
      </c>
      <c r="P35" s="2">
        <v>102.19970000000001</v>
      </c>
      <c r="Q35" s="1">
        <v>37560</v>
      </c>
      <c r="R35" s="2">
        <v>117.9966</v>
      </c>
      <c r="S35" s="1">
        <v>37560</v>
      </c>
      <c r="T35" s="2">
        <v>273.04860000000002</v>
      </c>
      <c r="U35" s="1">
        <v>37560</v>
      </c>
      <c r="V35" s="2">
        <v>150.06800000000001</v>
      </c>
      <c r="W35" s="1">
        <v>37560</v>
      </c>
      <c r="X35" s="2">
        <v>1136.4000000000001</v>
      </c>
      <c r="Y35" s="1">
        <v>37560</v>
      </c>
      <c r="Z35" s="2">
        <v>222.46199999999999</v>
      </c>
      <c r="AA35" s="1">
        <v>37925</v>
      </c>
      <c r="AB35" s="2">
        <v>127.89100000000001</v>
      </c>
      <c r="AC35" s="1">
        <v>37560</v>
      </c>
      <c r="AD35" s="2">
        <v>127.2388</v>
      </c>
      <c r="AE35" s="1">
        <v>37925</v>
      </c>
      <c r="AF35" s="2">
        <v>122.6498</v>
      </c>
      <c r="AG35" s="1">
        <v>37925</v>
      </c>
      <c r="AH35" s="2">
        <v>137.4862</v>
      </c>
      <c r="AI35" s="1">
        <v>37925</v>
      </c>
      <c r="AJ35" s="2">
        <v>128.26660000000001</v>
      </c>
      <c r="AK35" s="1">
        <v>37560</v>
      </c>
      <c r="AL35" s="2">
        <v>1653.39</v>
      </c>
      <c r="AM35" s="1">
        <v>37560</v>
      </c>
      <c r="AN35" s="2">
        <v>499.12</v>
      </c>
      <c r="AO35" s="1">
        <v>37560</v>
      </c>
      <c r="AP35" s="2">
        <v>856.24</v>
      </c>
      <c r="AQ35" s="1">
        <v>37560</v>
      </c>
      <c r="AR35" s="2">
        <v>436.74</v>
      </c>
      <c r="AS35" s="1">
        <v>37560</v>
      </c>
      <c r="AT35" s="2">
        <v>2614.73</v>
      </c>
      <c r="AU35" s="1">
        <v>37560</v>
      </c>
      <c r="AV35" s="2">
        <v>1302.29</v>
      </c>
      <c r="AW35" s="1">
        <v>39021</v>
      </c>
      <c r="AX35" s="2">
        <v>1901.08</v>
      </c>
      <c r="AY35" s="1">
        <v>38960</v>
      </c>
      <c r="AZ35" s="2">
        <v>160.11000000000001</v>
      </c>
      <c r="BA35" s="1">
        <v>42643</v>
      </c>
      <c r="BB35" s="2">
        <v>1194.96</v>
      </c>
      <c r="BC35" s="1">
        <v>37560</v>
      </c>
      <c r="BD35" s="2">
        <v>2.2400000000000002</v>
      </c>
      <c r="BE35" s="1">
        <v>37560</v>
      </c>
      <c r="BF35" s="2">
        <v>116.80500000000001</v>
      </c>
      <c r="BG35" s="1">
        <v>37560</v>
      </c>
      <c r="BH35" s="2">
        <v>244.423</v>
      </c>
      <c r="BI35" s="1">
        <v>37560</v>
      </c>
      <c r="BJ35" s="2">
        <v>225.85400000000001</v>
      </c>
      <c r="BK35" s="1">
        <v>37560</v>
      </c>
      <c r="BL35" s="2">
        <v>499.56330000000003</v>
      </c>
      <c r="BM35" s="1">
        <v>39080</v>
      </c>
      <c r="BN35" s="2">
        <v>1419.152</v>
      </c>
      <c r="BO35" s="1">
        <v>39171</v>
      </c>
      <c r="BP35" s="2">
        <v>158.44</v>
      </c>
    </row>
    <row r="36" spans="1:68" x14ac:dyDescent="0.25">
      <c r="A36" s="1">
        <v>37589</v>
      </c>
      <c r="B36" s="2">
        <v>1287.211</v>
      </c>
      <c r="C36" s="1">
        <v>37589</v>
      </c>
      <c r="D36" s="2">
        <v>134.63399999999999</v>
      </c>
      <c r="E36" s="1">
        <v>37589</v>
      </c>
      <c r="F36" s="2">
        <v>143.136</v>
      </c>
      <c r="G36" s="1">
        <v>37589</v>
      </c>
      <c r="H36" s="2">
        <v>129.18340000000001</v>
      </c>
      <c r="I36" s="1">
        <v>37621</v>
      </c>
      <c r="J36" s="2">
        <v>109.6939</v>
      </c>
      <c r="K36" s="1">
        <v>37589</v>
      </c>
      <c r="L36" s="2">
        <v>112.1955</v>
      </c>
      <c r="M36" s="1">
        <v>37589</v>
      </c>
      <c r="N36" s="2">
        <v>113.22969999999999</v>
      </c>
      <c r="O36" s="1">
        <v>37621</v>
      </c>
      <c r="P36" s="2">
        <v>102.8212</v>
      </c>
      <c r="Q36" s="1">
        <v>37589</v>
      </c>
      <c r="R36" s="2">
        <v>119.4378</v>
      </c>
      <c r="S36" s="1">
        <v>37589</v>
      </c>
      <c r="T36" s="2">
        <v>273.37740000000002</v>
      </c>
      <c r="U36" s="1">
        <v>37589</v>
      </c>
      <c r="V36" s="2">
        <v>149.482</v>
      </c>
      <c r="W36" s="1">
        <v>37589</v>
      </c>
      <c r="X36" s="2">
        <v>1135.5899999999999</v>
      </c>
      <c r="Y36" s="1">
        <v>37589</v>
      </c>
      <c r="Z36" s="2">
        <v>219.38300000000001</v>
      </c>
      <c r="AA36" s="1">
        <v>37953</v>
      </c>
      <c r="AB36" s="2">
        <v>128.7448</v>
      </c>
      <c r="AC36" s="1">
        <v>37589</v>
      </c>
      <c r="AD36" s="2">
        <v>128.5615</v>
      </c>
      <c r="AE36" s="1">
        <v>37953</v>
      </c>
      <c r="AF36" s="2">
        <v>120.63209999999999</v>
      </c>
      <c r="AG36" s="1">
        <v>37953</v>
      </c>
      <c r="AH36" s="2">
        <v>142.875</v>
      </c>
      <c r="AI36" s="1">
        <v>37953</v>
      </c>
      <c r="AJ36" s="2">
        <v>133.68049999999999</v>
      </c>
      <c r="AK36" s="1">
        <v>37589</v>
      </c>
      <c r="AL36" s="2">
        <v>1742.29</v>
      </c>
      <c r="AM36" s="1">
        <v>37589</v>
      </c>
      <c r="AN36" s="2">
        <v>512.71</v>
      </c>
      <c r="AO36" s="1">
        <v>37589</v>
      </c>
      <c r="AP36" s="2">
        <v>872.57</v>
      </c>
      <c r="AQ36" s="1">
        <v>37589</v>
      </c>
      <c r="AR36" s="2">
        <v>433.34</v>
      </c>
      <c r="AS36" s="1">
        <v>37589</v>
      </c>
      <c r="AT36" s="2">
        <v>2802.17</v>
      </c>
      <c r="AU36" s="1">
        <v>37589</v>
      </c>
      <c r="AV36" s="2">
        <v>1349.6</v>
      </c>
      <c r="AW36" s="1">
        <v>39051</v>
      </c>
      <c r="AX36" s="2">
        <v>1984.39</v>
      </c>
      <c r="AY36" s="1">
        <v>38989</v>
      </c>
      <c r="AZ36" s="2">
        <v>162.59</v>
      </c>
      <c r="BA36" s="1">
        <v>42674</v>
      </c>
      <c r="BB36" s="2">
        <v>1196.07</v>
      </c>
      <c r="BC36" s="1">
        <v>37589</v>
      </c>
      <c r="BD36" s="2">
        <v>1.75</v>
      </c>
      <c r="BE36" s="1">
        <v>37589</v>
      </c>
      <c r="BF36" s="2">
        <v>94.95</v>
      </c>
      <c r="BG36" s="1">
        <v>37589</v>
      </c>
      <c r="BH36" s="2">
        <v>300.74799999999999</v>
      </c>
      <c r="BI36" s="1">
        <v>37589</v>
      </c>
      <c r="BJ36" s="2">
        <v>178.172</v>
      </c>
      <c r="BK36" s="1">
        <v>37589</v>
      </c>
      <c r="BL36" s="2">
        <v>500.19009999999997</v>
      </c>
      <c r="BM36" s="1">
        <v>39113</v>
      </c>
      <c r="BN36" s="2">
        <v>1441.5920000000001</v>
      </c>
      <c r="BO36" s="1">
        <v>39202</v>
      </c>
      <c r="BP36" s="2">
        <v>162.31</v>
      </c>
    </row>
    <row r="37" spans="1:68" x14ac:dyDescent="0.25">
      <c r="A37" s="1">
        <v>37621</v>
      </c>
      <c r="B37" s="2">
        <v>1407.518</v>
      </c>
      <c r="C37" s="1">
        <v>37621</v>
      </c>
      <c r="D37" s="2">
        <v>134.87610000000001</v>
      </c>
      <c r="E37" s="1">
        <v>37621</v>
      </c>
      <c r="F37" s="2">
        <v>143.78200000000001</v>
      </c>
      <c r="G37" s="1">
        <v>37621</v>
      </c>
      <c r="H37" s="2">
        <v>132.64879999999999</v>
      </c>
      <c r="I37" s="1">
        <v>37652</v>
      </c>
      <c r="J37" s="2">
        <v>110.4143</v>
      </c>
      <c r="K37" s="1">
        <v>37621</v>
      </c>
      <c r="L37" s="2">
        <v>113.71210000000001</v>
      </c>
      <c r="M37" s="1">
        <v>37621</v>
      </c>
      <c r="N37" s="2">
        <v>116.899</v>
      </c>
      <c r="O37" s="1">
        <v>37652</v>
      </c>
      <c r="P37" s="2">
        <v>103.2765</v>
      </c>
      <c r="Q37" s="1">
        <v>37621</v>
      </c>
      <c r="R37" s="2">
        <v>122.5527</v>
      </c>
      <c r="S37" s="1">
        <v>37621</v>
      </c>
      <c r="T37" s="2">
        <v>277.9982</v>
      </c>
      <c r="U37" s="1">
        <v>37621</v>
      </c>
      <c r="V37" s="2">
        <v>157.3057</v>
      </c>
      <c r="W37" s="1">
        <v>37621</v>
      </c>
      <c r="X37" s="2">
        <v>1147.45</v>
      </c>
      <c r="Y37" s="1">
        <v>37621</v>
      </c>
      <c r="Z37" s="2">
        <v>222.999</v>
      </c>
      <c r="AA37" s="1">
        <v>37986</v>
      </c>
      <c r="AB37" s="2">
        <v>139.5504</v>
      </c>
      <c r="AC37" s="1">
        <v>37621</v>
      </c>
      <c r="AD37" s="2">
        <v>135.09229999999999</v>
      </c>
      <c r="AE37" s="1">
        <v>37986</v>
      </c>
      <c r="AF37" s="2">
        <v>122.2717</v>
      </c>
      <c r="AG37" s="1">
        <v>37986</v>
      </c>
      <c r="AH37" s="2">
        <v>157.3698</v>
      </c>
      <c r="AI37" s="1">
        <v>37986</v>
      </c>
      <c r="AJ37" s="2">
        <v>142.76779999999999</v>
      </c>
      <c r="AK37" s="1">
        <v>37621</v>
      </c>
      <c r="AL37" s="2">
        <v>1657.64</v>
      </c>
      <c r="AM37" s="1">
        <v>37621</v>
      </c>
      <c r="AN37" s="2">
        <v>493.74</v>
      </c>
      <c r="AO37" s="1">
        <v>37621</v>
      </c>
      <c r="AP37" s="2">
        <v>872.69</v>
      </c>
      <c r="AQ37" s="1">
        <v>37621</v>
      </c>
      <c r="AR37" s="2">
        <v>418.32</v>
      </c>
      <c r="AS37" s="1">
        <v>37621</v>
      </c>
      <c r="AT37" s="2">
        <v>2640.04</v>
      </c>
      <c r="AU37" s="1">
        <v>37621</v>
      </c>
      <c r="AV37" s="2">
        <v>1297.42</v>
      </c>
      <c r="AW37" s="1">
        <v>39080</v>
      </c>
      <c r="AX37" s="2">
        <v>1928.96</v>
      </c>
      <c r="AY37" s="1">
        <v>39021</v>
      </c>
      <c r="AZ37" s="2">
        <v>171.42</v>
      </c>
      <c r="BA37" s="1">
        <v>42704</v>
      </c>
      <c r="BB37" s="2">
        <v>1215.53</v>
      </c>
      <c r="BC37" s="1">
        <v>37621</v>
      </c>
      <c r="BD37" s="2">
        <v>1.69</v>
      </c>
      <c r="BE37" s="1">
        <v>37621</v>
      </c>
      <c r="BF37" s="2">
        <v>108.89400000000001</v>
      </c>
      <c r="BG37" s="1">
        <v>37621</v>
      </c>
      <c r="BH37" s="2">
        <v>261.995</v>
      </c>
      <c r="BI37" s="1">
        <v>37621</v>
      </c>
      <c r="BJ37" s="2">
        <v>205.10599999999999</v>
      </c>
      <c r="BK37" s="1">
        <v>37621</v>
      </c>
      <c r="BL37" s="2">
        <v>525.34130000000005</v>
      </c>
      <c r="BM37" s="1">
        <v>39141</v>
      </c>
      <c r="BN37" s="2">
        <v>1432.519</v>
      </c>
      <c r="BO37" s="1">
        <v>39233</v>
      </c>
      <c r="BP37" s="2">
        <v>163.05000000000001</v>
      </c>
    </row>
    <row r="38" spans="1:68" x14ac:dyDescent="0.25">
      <c r="A38" s="1">
        <v>37652</v>
      </c>
      <c r="B38" s="2">
        <v>1515.0530000000001</v>
      </c>
      <c r="C38" s="1">
        <v>37652</v>
      </c>
      <c r="D38" s="2">
        <v>137.7662</v>
      </c>
      <c r="E38" s="1">
        <v>37652</v>
      </c>
      <c r="F38" s="2">
        <v>148.464</v>
      </c>
      <c r="G38" s="1">
        <v>37652</v>
      </c>
      <c r="H38" s="2">
        <v>134.0264</v>
      </c>
      <c r="I38" s="1">
        <v>37680</v>
      </c>
      <c r="J38" s="2">
        <v>111.52370000000001</v>
      </c>
      <c r="K38" s="1">
        <v>37652</v>
      </c>
      <c r="L38" s="2">
        <v>114.0518</v>
      </c>
      <c r="M38" s="1">
        <v>37652</v>
      </c>
      <c r="N38" s="2">
        <v>117.05889999999999</v>
      </c>
      <c r="O38" s="1">
        <v>37680</v>
      </c>
      <c r="P38" s="2">
        <v>104.00190000000001</v>
      </c>
      <c r="Q38" s="1">
        <v>37652</v>
      </c>
      <c r="R38" s="2">
        <v>124.6876</v>
      </c>
      <c r="S38" s="1">
        <v>37652</v>
      </c>
      <c r="T38" s="2">
        <v>279.27699999999999</v>
      </c>
      <c r="U38" s="1">
        <v>37652</v>
      </c>
      <c r="V38" s="2">
        <v>161.25980000000001</v>
      </c>
      <c r="W38" s="1">
        <v>37652</v>
      </c>
      <c r="X38" s="2">
        <v>1150.25</v>
      </c>
      <c r="Y38" s="1">
        <v>37652</v>
      </c>
      <c r="Z38" s="2">
        <v>226.613</v>
      </c>
      <c r="AA38" s="1">
        <v>38016</v>
      </c>
      <c r="AB38" s="2">
        <v>142.92240000000001</v>
      </c>
      <c r="AC38" s="1">
        <v>37652</v>
      </c>
      <c r="AD38" s="2">
        <v>144.91229999999999</v>
      </c>
      <c r="AE38" s="1">
        <v>38016</v>
      </c>
      <c r="AF38" s="2">
        <v>128.8398</v>
      </c>
      <c r="AG38" s="1">
        <v>38016</v>
      </c>
      <c r="AH38" s="2">
        <v>158.14070000000001</v>
      </c>
      <c r="AI38" s="1">
        <v>38016</v>
      </c>
      <c r="AJ38" s="2">
        <v>141.91220000000001</v>
      </c>
      <c r="AK38" s="1">
        <v>37652</v>
      </c>
      <c r="AL38" s="2">
        <v>1607.12</v>
      </c>
      <c r="AM38" s="1">
        <v>37652</v>
      </c>
      <c r="AN38" s="2">
        <v>475.79</v>
      </c>
      <c r="AO38" s="1">
        <v>37652</v>
      </c>
      <c r="AP38" s="2">
        <v>846.06</v>
      </c>
      <c r="AQ38" s="1">
        <v>37652</v>
      </c>
      <c r="AR38" s="2">
        <v>406.7</v>
      </c>
      <c r="AS38" s="1">
        <v>37652</v>
      </c>
      <c r="AT38" s="2">
        <v>2573.7399999999998</v>
      </c>
      <c r="AU38" s="1">
        <v>37652</v>
      </c>
      <c r="AV38" s="2">
        <v>1250.6099999999999</v>
      </c>
      <c r="AW38" s="1">
        <v>39113</v>
      </c>
      <c r="AX38" s="2">
        <v>1909.17</v>
      </c>
      <c r="AY38" s="1">
        <v>39051</v>
      </c>
      <c r="AZ38" s="2">
        <v>180.15</v>
      </c>
      <c r="BA38" s="1">
        <v>42734</v>
      </c>
      <c r="BB38" s="2">
        <v>1229.52</v>
      </c>
      <c r="BC38" s="1">
        <v>37652</v>
      </c>
      <c r="BD38" s="2">
        <v>1.54</v>
      </c>
      <c r="BE38" s="1">
        <v>37652</v>
      </c>
      <c r="BF38" s="2">
        <v>102.777</v>
      </c>
      <c r="BG38" s="1">
        <v>37652</v>
      </c>
      <c r="BH38" s="2">
        <v>279.90899999999999</v>
      </c>
      <c r="BI38" s="1">
        <v>37652</v>
      </c>
      <c r="BJ38" s="2">
        <v>190.619</v>
      </c>
      <c r="BK38" s="1">
        <v>37652</v>
      </c>
      <c r="BL38" s="2">
        <v>532.53489999999999</v>
      </c>
      <c r="BM38" s="1">
        <v>39171</v>
      </c>
      <c r="BN38" s="2">
        <v>1460.097</v>
      </c>
      <c r="BO38" s="1">
        <v>39262</v>
      </c>
      <c r="BP38" s="2">
        <v>160.72</v>
      </c>
    </row>
    <row r="39" spans="1:68" x14ac:dyDescent="0.25">
      <c r="A39" s="1">
        <v>37680</v>
      </c>
      <c r="B39" s="2">
        <v>1627.2819999999999</v>
      </c>
      <c r="C39" s="1">
        <v>37680</v>
      </c>
      <c r="D39" s="2">
        <v>141.1225</v>
      </c>
      <c r="E39" s="1">
        <v>37680</v>
      </c>
      <c r="F39" s="2">
        <v>149.44800000000001</v>
      </c>
      <c r="G39" s="1">
        <v>37680</v>
      </c>
      <c r="H39" s="2">
        <v>136.12299999999999</v>
      </c>
      <c r="I39" s="1">
        <v>37711</v>
      </c>
      <c r="J39" s="2">
        <v>110.31529999999999</v>
      </c>
      <c r="K39" s="1">
        <v>37680</v>
      </c>
      <c r="L39" s="2">
        <v>115.0262</v>
      </c>
      <c r="M39" s="1">
        <v>37680</v>
      </c>
      <c r="N39" s="2">
        <v>120.2332</v>
      </c>
      <c r="O39" s="1">
        <v>37711</v>
      </c>
      <c r="P39" s="2">
        <v>102.5809</v>
      </c>
      <c r="Q39" s="1">
        <v>37680</v>
      </c>
      <c r="R39" s="2">
        <v>125.506</v>
      </c>
      <c r="S39" s="1">
        <v>37680</v>
      </c>
      <c r="T39" s="2">
        <v>282.07619999999997</v>
      </c>
      <c r="U39" s="1">
        <v>37680</v>
      </c>
      <c r="V39" s="2">
        <v>163.43819999999999</v>
      </c>
      <c r="W39" s="1">
        <v>37680</v>
      </c>
      <c r="X39" s="2">
        <v>1157.96</v>
      </c>
      <c r="Y39" s="1">
        <v>37680</v>
      </c>
      <c r="Z39" s="2">
        <v>217.779</v>
      </c>
      <c r="AA39" s="1">
        <v>38044</v>
      </c>
      <c r="AB39" s="2">
        <v>153.71879999999999</v>
      </c>
      <c r="AC39" s="1">
        <v>37680</v>
      </c>
      <c r="AD39" s="2">
        <v>149.23779999999999</v>
      </c>
      <c r="AE39" s="1">
        <v>38044</v>
      </c>
      <c r="AF39" s="2">
        <v>136.2364</v>
      </c>
      <c r="AG39" s="1">
        <v>38044</v>
      </c>
      <c r="AH39" s="2">
        <v>174.17330000000001</v>
      </c>
      <c r="AI39" s="1">
        <v>38044</v>
      </c>
      <c r="AJ39" s="2">
        <v>143.63030000000001</v>
      </c>
      <c r="AK39" s="1">
        <v>37680</v>
      </c>
      <c r="AL39" s="2">
        <v>1578.99</v>
      </c>
      <c r="AM39" s="1">
        <v>37680</v>
      </c>
      <c r="AN39" s="2">
        <v>466.75</v>
      </c>
      <c r="AO39" s="1">
        <v>37680</v>
      </c>
      <c r="AP39" s="2">
        <v>832.24</v>
      </c>
      <c r="AQ39" s="1">
        <v>37680</v>
      </c>
      <c r="AR39" s="2">
        <v>404.75</v>
      </c>
      <c r="AS39" s="1">
        <v>37680</v>
      </c>
      <c r="AT39" s="2">
        <v>2512.52</v>
      </c>
      <c r="AU39" s="1">
        <v>37680</v>
      </c>
      <c r="AV39" s="2">
        <v>1237.04</v>
      </c>
      <c r="AW39" s="1">
        <v>39141</v>
      </c>
      <c r="AX39" s="2">
        <v>1976.96</v>
      </c>
      <c r="AY39" s="1">
        <v>39080</v>
      </c>
      <c r="AZ39" s="2">
        <v>184.67</v>
      </c>
      <c r="BA39" s="1">
        <v>42766</v>
      </c>
      <c r="BB39" s="2">
        <v>1244.33</v>
      </c>
      <c r="BC39" s="1">
        <v>37680</v>
      </c>
      <c r="BD39" s="2">
        <v>1.51</v>
      </c>
      <c r="BE39" s="1">
        <v>37680</v>
      </c>
      <c r="BF39" s="2">
        <v>102.804</v>
      </c>
      <c r="BG39" s="1">
        <v>37680</v>
      </c>
      <c r="BH39" s="2">
        <v>249.70400000000001</v>
      </c>
      <c r="BI39" s="1">
        <v>37680</v>
      </c>
      <c r="BJ39" s="2">
        <v>200.821</v>
      </c>
      <c r="BK39" s="1">
        <v>37680</v>
      </c>
      <c r="BL39" s="2">
        <v>540.0027</v>
      </c>
      <c r="BM39" s="1">
        <v>39202</v>
      </c>
      <c r="BN39" s="2">
        <v>1524.26</v>
      </c>
      <c r="BO39" s="1">
        <v>39294</v>
      </c>
      <c r="BP39" s="2">
        <v>158.6</v>
      </c>
    </row>
    <row r="40" spans="1:68" x14ac:dyDescent="0.25">
      <c r="A40" s="1">
        <v>37711</v>
      </c>
      <c r="B40" s="2">
        <v>1478.914</v>
      </c>
      <c r="C40" s="1">
        <v>37711</v>
      </c>
      <c r="D40" s="2">
        <v>141.86179999999999</v>
      </c>
      <c r="E40" s="1">
        <v>37711</v>
      </c>
      <c r="F40" s="2">
        <v>148.398</v>
      </c>
      <c r="G40" s="1">
        <v>37711</v>
      </c>
      <c r="H40" s="2">
        <v>137.59350000000001</v>
      </c>
      <c r="I40" s="1">
        <v>37741</v>
      </c>
      <c r="J40" s="2">
        <v>110.5852</v>
      </c>
      <c r="K40" s="1">
        <v>37711</v>
      </c>
      <c r="L40" s="2">
        <v>115.4773</v>
      </c>
      <c r="M40" s="1">
        <v>37711</v>
      </c>
      <c r="N40" s="2">
        <v>117.9777</v>
      </c>
      <c r="O40" s="1">
        <v>37741</v>
      </c>
      <c r="P40" s="2">
        <v>102.2775</v>
      </c>
      <c r="Q40" s="1">
        <v>37711</v>
      </c>
      <c r="R40" s="2">
        <v>124.316</v>
      </c>
      <c r="S40" s="1">
        <v>37711</v>
      </c>
      <c r="T40" s="2">
        <v>281.8338</v>
      </c>
      <c r="U40" s="1">
        <v>37711</v>
      </c>
      <c r="V40" s="2">
        <v>162.53190000000001</v>
      </c>
      <c r="W40" s="1">
        <v>37711</v>
      </c>
      <c r="X40" s="2">
        <v>1158.06</v>
      </c>
      <c r="Y40" s="1">
        <v>37711</v>
      </c>
      <c r="Z40" s="2">
        <v>231.101</v>
      </c>
      <c r="AA40" s="1">
        <v>38077</v>
      </c>
      <c r="AB40" s="2">
        <v>159.23740000000001</v>
      </c>
      <c r="AC40" s="1">
        <v>37711</v>
      </c>
      <c r="AD40" s="2">
        <v>138.80420000000001</v>
      </c>
      <c r="AE40" s="1">
        <v>38077</v>
      </c>
      <c r="AF40" s="2">
        <v>141.6275</v>
      </c>
      <c r="AG40" s="1">
        <v>38077</v>
      </c>
      <c r="AH40" s="2">
        <v>179.35339999999999</v>
      </c>
      <c r="AI40" s="1">
        <v>38077</v>
      </c>
      <c r="AJ40" s="2">
        <v>159.69130000000001</v>
      </c>
      <c r="AK40" s="1">
        <v>37711</v>
      </c>
      <c r="AL40" s="2">
        <v>1573.78</v>
      </c>
      <c r="AM40" s="1">
        <v>37711</v>
      </c>
      <c r="AN40" s="2">
        <v>472.74</v>
      </c>
      <c r="AO40" s="1">
        <v>37711</v>
      </c>
      <c r="AP40" s="2">
        <v>835.92</v>
      </c>
      <c r="AQ40" s="1">
        <v>37711</v>
      </c>
      <c r="AR40" s="2">
        <v>405.68</v>
      </c>
      <c r="AS40" s="1">
        <v>37711</v>
      </c>
      <c r="AT40" s="2">
        <v>2475.65</v>
      </c>
      <c r="AU40" s="1">
        <v>37711</v>
      </c>
      <c r="AV40" s="2">
        <v>1247.7</v>
      </c>
      <c r="AW40" s="1">
        <v>39171</v>
      </c>
      <c r="AX40" s="2">
        <v>1966.87</v>
      </c>
      <c r="AY40" s="1">
        <v>39113</v>
      </c>
      <c r="AZ40" s="2">
        <v>189.22</v>
      </c>
      <c r="BA40" s="1">
        <v>42794</v>
      </c>
      <c r="BB40" s="2">
        <v>1255.98</v>
      </c>
      <c r="BC40" s="1">
        <v>37711</v>
      </c>
      <c r="BD40" s="2">
        <v>1.46</v>
      </c>
      <c r="BE40" s="1">
        <v>37711</v>
      </c>
      <c r="BF40" s="2">
        <v>108.571</v>
      </c>
      <c r="BG40" s="1">
        <v>37711</v>
      </c>
      <c r="BH40" s="2">
        <v>269.40499999999997</v>
      </c>
      <c r="BI40" s="1">
        <v>37711</v>
      </c>
      <c r="BJ40" s="2">
        <v>210.43199999999999</v>
      </c>
      <c r="BK40" s="1">
        <v>37711</v>
      </c>
      <c r="BL40" s="2">
        <v>541.65620000000001</v>
      </c>
      <c r="BM40" s="1">
        <v>39233</v>
      </c>
      <c r="BN40" s="2">
        <v>1568.6420000000001</v>
      </c>
      <c r="BO40" s="1">
        <v>39325</v>
      </c>
      <c r="BP40" s="2">
        <v>148.63</v>
      </c>
    </row>
    <row r="41" spans="1:68" x14ac:dyDescent="0.25">
      <c r="A41" s="1">
        <v>37741</v>
      </c>
      <c r="B41" s="2">
        <v>1490.2149999999999</v>
      </c>
      <c r="C41" s="1">
        <v>37741</v>
      </c>
      <c r="D41" s="2">
        <v>150.84520000000001</v>
      </c>
      <c r="E41" s="1">
        <v>37741</v>
      </c>
      <c r="F41" s="2">
        <v>153.785</v>
      </c>
      <c r="G41" s="1">
        <v>37741</v>
      </c>
      <c r="H41" s="2">
        <v>148.24529999999999</v>
      </c>
      <c r="I41" s="1">
        <v>37771</v>
      </c>
      <c r="J41" s="2">
        <v>111.23950000000001</v>
      </c>
      <c r="K41" s="1">
        <v>37741</v>
      </c>
      <c r="L41" s="2">
        <v>113.9918</v>
      </c>
      <c r="M41" s="1">
        <v>37741</v>
      </c>
      <c r="N41" s="2">
        <v>119.14749999999999</v>
      </c>
      <c r="O41" s="1">
        <v>37771</v>
      </c>
      <c r="P41" s="2">
        <v>101.37739999999999</v>
      </c>
      <c r="Q41" s="1">
        <v>37741</v>
      </c>
      <c r="R41" s="2">
        <v>127.00109999999999</v>
      </c>
      <c r="S41" s="1">
        <v>37741</v>
      </c>
      <c r="T41" s="2">
        <v>283.3655</v>
      </c>
      <c r="U41" s="1">
        <v>37741</v>
      </c>
      <c r="V41" s="2">
        <v>163.45330000000001</v>
      </c>
      <c r="W41" s="1">
        <v>37741</v>
      </c>
      <c r="X41" s="2">
        <v>1162.9000000000001</v>
      </c>
      <c r="Y41" s="1">
        <v>37741</v>
      </c>
      <c r="Z41" s="2">
        <v>235.64500000000001</v>
      </c>
      <c r="AA41" s="1">
        <v>38107</v>
      </c>
      <c r="AB41" s="2">
        <v>158.7749</v>
      </c>
      <c r="AC41" s="1">
        <v>37741</v>
      </c>
      <c r="AD41" s="2">
        <v>138.68350000000001</v>
      </c>
      <c r="AE41" s="1">
        <v>38107</v>
      </c>
      <c r="AF41" s="2">
        <v>142.85640000000001</v>
      </c>
      <c r="AG41" s="1">
        <v>38107</v>
      </c>
      <c r="AH41" s="2">
        <v>191.60759999999999</v>
      </c>
      <c r="AI41" s="1">
        <v>38107</v>
      </c>
      <c r="AJ41" s="2">
        <v>137.00989999999999</v>
      </c>
      <c r="AK41" s="1">
        <v>37741</v>
      </c>
      <c r="AL41" s="2">
        <v>1713.25</v>
      </c>
      <c r="AM41" s="1">
        <v>37741</v>
      </c>
      <c r="AN41" s="2">
        <v>505.85</v>
      </c>
      <c r="AO41" s="1">
        <v>37741</v>
      </c>
      <c r="AP41" s="2">
        <v>890.01</v>
      </c>
      <c r="AQ41" s="1">
        <v>37741</v>
      </c>
      <c r="AR41" s="2">
        <v>432.71</v>
      </c>
      <c r="AS41" s="1">
        <v>37741</v>
      </c>
      <c r="AT41" s="2">
        <v>2736.88</v>
      </c>
      <c r="AU41" s="1">
        <v>37741</v>
      </c>
      <c r="AV41" s="2">
        <v>1336.7</v>
      </c>
      <c r="AW41" s="1">
        <v>39202</v>
      </c>
      <c r="AX41" s="2">
        <v>1996.18</v>
      </c>
      <c r="AY41" s="1">
        <v>39141</v>
      </c>
      <c r="AZ41" s="2">
        <v>194.5</v>
      </c>
      <c r="BA41" s="1">
        <v>42825</v>
      </c>
      <c r="BB41" s="2">
        <v>1274.33</v>
      </c>
      <c r="BC41" s="1">
        <v>37741</v>
      </c>
      <c r="BD41" s="2">
        <v>1.23</v>
      </c>
      <c r="BE41" s="1">
        <v>37741</v>
      </c>
      <c r="BF41" s="2">
        <v>109.038</v>
      </c>
      <c r="BG41" s="1">
        <v>37741</v>
      </c>
      <c r="BH41" s="2">
        <v>272.06099999999998</v>
      </c>
      <c r="BI41" s="1">
        <v>37741</v>
      </c>
      <c r="BJ41" s="2">
        <v>201.46899999999999</v>
      </c>
      <c r="BK41" s="1">
        <v>37741</v>
      </c>
      <c r="BL41" s="2">
        <v>548.15170000000001</v>
      </c>
      <c r="BM41" s="1">
        <v>39262</v>
      </c>
      <c r="BN41" s="2">
        <v>1562.1559999999999</v>
      </c>
      <c r="BO41" s="1">
        <v>39353</v>
      </c>
      <c r="BP41" s="2">
        <v>156.83000000000001</v>
      </c>
    </row>
    <row r="42" spans="1:68" x14ac:dyDescent="0.25">
      <c r="A42" s="1">
        <v>37771</v>
      </c>
      <c r="B42" s="2">
        <v>1599.818</v>
      </c>
      <c r="C42" s="1">
        <v>37771</v>
      </c>
      <c r="D42" s="2">
        <v>152.81190000000001</v>
      </c>
      <c r="E42" s="1">
        <v>37771</v>
      </c>
      <c r="F42" s="2">
        <v>158.18199999999999</v>
      </c>
      <c r="G42" s="1">
        <v>37771</v>
      </c>
      <c r="H42" s="2">
        <v>151.2773</v>
      </c>
      <c r="I42" s="1">
        <v>37802</v>
      </c>
      <c r="J42" s="2">
        <v>110.44370000000001</v>
      </c>
      <c r="K42" s="1">
        <v>37771</v>
      </c>
      <c r="L42" s="2">
        <v>113.70310000000001</v>
      </c>
      <c r="M42" s="1">
        <v>37771</v>
      </c>
      <c r="N42" s="2">
        <v>124.1925</v>
      </c>
      <c r="O42" s="1">
        <v>37802</v>
      </c>
      <c r="P42" s="2">
        <v>100.6276</v>
      </c>
      <c r="Q42" s="1">
        <v>37771</v>
      </c>
      <c r="R42" s="2">
        <v>129.5625</v>
      </c>
      <c r="S42" s="1">
        <v>37771</v>
      </c>
      <c r="T42" s="2">
        <v>288.25369999999998</v>
      </c>
      <c r="U42" s="1">
        <v>37771</v>
      </c>
      <c r="V42" s="2">
        <v>172.88229999999999</v>
      </c>
      <c r="W42" s="1">
        <v>37771</v>
      </c>
      <c r="X42" s="2">
        <v>1163.8599999999999</v>
      </c>
      <c r="Y42" s="1">
        <v>37771</v>
      </c>
      <c r="Z42" s="2">
        <v>204.506</v>
      </c>
      <c r="AA42" s="1">
        <v>38138</v>
      </c>
      <c r="AB42" s="2">
        <v>163.19640000000001</v>
      </c>
      <c r="AC42" s="1">
        <v>37771</v>
      </c>
      <c r="AD42" s="2">
        <v>146.42060000000001</v>
      </c>
      <c r="AE42" s="1">
        <v>38138</v>
      </c>
      <c r="AF42" s="2">
        <v>138.29220000000001</v>
      </c>
      <c r="AG42" s="1">
        <v>38138</v>
      </c>
      <c r="AH42" s="2">
        <v>206.6464</v>
      </c>
      <c r="AI42" s="1">
        <v>38138</v>
      </c>
      <c r="AJ42" s="2">
        <v>138.9221</v>
      </c>
      <c r="AK42" s="1">
        <v>37771</v>
      </c>
      <c r="AL42" s="2">
        <v>1810.79</v>
      </c>
      <c r="AM42" s="1">
        <v>37771</v>
      </c>
      <c r="AN42" s="2">
        <v>527.36</v>
      </c>
      <c r="AO42" s="1">
        <v>37771</v>
      </c>
      <c r="AP42" s="2">
        <v>937.01</v>
      </c>
      <c r="AQ42" s="1">
        <v>37771</v>
      </c>
      <c r="AR42" s="2">
        <v>452.37</v>
      </c>
      <c r="AS42" s="1">
        <v>37771</v>
      </c>
      <c r="AT42" s="2">
        <v>2933.56</v>
      </c>
      <c r="AU42" s="1">
        <v>37771</v>
      </c>
      <c r="AV42" s="2">
        <v>1391.71</v>
      </c>
      <c r="AW42" s="1">
        <v>39233</v>
      </c>
      <c r="AX42" s="2">
        <v>1984.79</v>
      </c>
      <c r="AY42" s="1">
        <v>39171</v>
      </c>
      <c r="AZ42" s="2">
        <v>193.96</v>
      </c>
      <c r="BA42" s="1">
        <v>42853</v>
      </c>
      <c r="BB42" s="2">
        <v>1279.1199999999999</v>
      </c>
      <c r="BC42" s="1">
        <v>37771</v>
      </c>
      <c r="BD42" s="2">
        <v>1.2</v>
      </c>
      <c r="BE42" s="1">
        <v>37771</v>
      </c>
      <c r="BF42" s="2">
        <v>108.245</v>
      </c>
      <c r="BG42" s="1">
        <v>37771</v>
      </c>
      <c r="BH42" s="2">
        <v>226.87299999999999</v>
      </c>
      <c r="BI42" s="1">
        <v>37771</v>
      </c>
      <c r="BJ42" s="2">
        <v>208.69499999999999</v>
      </c>
      <c r="BK42" s="1">
        <v>37771</v>
      </c>
      <c r="BL42" s="2">
        <v>571.92259999999999</v>
      </c>
      <c r="BM42" s="1">
        <v>39294</v>
      </c>
      <c r="BN42" s="2">
        <v>1543.146</v>
      </c>
      <c r="BO42" s="1">
        <v>39386</v>
      </c>
      <c r="BP42" s="2">
        <v>160.35</v>
      </c>
    </row>
    <row r="43" spans="1:68" x14ac:dyDescent="0.25">
      <c r="A43" s="1">
        <v>37802</v>
      </c>
      <c r="B43" s="2">
        <v>1514.0429999999999</v>
      </c>
      <c r="C43" s="1">
        <v>37802</v>
      </c>
      <c r="D43" s="2">
        <v>157.2698</v>
      </c>
      <c r="E43" s="1">
        <v>37802</v>
      </c>
      <c r="F43" s="2">
        <v>159.45500000000001</v>
      </c>
      <c r="G43" s="1">
        <v>37802</v>
      </c>
      <c r="H43" s="2">
        <v>152.39250000000001</v>
      </c>
      <c r="I43" s="1">
        <v>37833</v>
      </c>
      <c r="J43" s="2">
        <v>110.3657</v>
      </c>
      <c r="K43" s="1">
        <v>37802</v>
      </c>
      <c r="L43" s="2">
        <v>113.663</v>
      </c>
      <c r="M43" s="1">
        <v>37802</v>
      </c>
      <c r="N43" s="2">
        <v>122.1887</v>
      </c>
      <c r="O43" s="1">
        <v>37833</v>
      </c>
      <c r="P43" s="2">
        <v>101.5737</v>
      </c>
      <c r="Q43" s="1">
        <v>37802</v>
      </c>
      <c r="R43" s="2">
        <v>128.863</v>
      </c>
      <c r="S43" s="1">
        <v>37802</v>
      </c>
      <c r="T43" s="2">
        <v>287.32530000000003</v>
      </c>
      <c r="U43" s="1">
        <v>37802</v>
      </c>
      <c r="V43" s="2">
        <v>171.48910000000001</v>
      </c>
      <c r="W43" s="1">
        <v>37802</v>
      </c>
      <c r="X43" s="2">
        <v>1165.76</v>
      </c>
      <c r="Y43" s="1">
        <v>37802</v>
      </c>
      <c r="Z43" s="2">
        <v>221.16</v>
      </c>
      <c r="AA43" s="1">
        <v>38168</v>
      </c>
      <c r="AB43" s="2">
        <v>160.16890000000001</v>
      </c>
      <c r="AC43" s="1">
        <v>37802</v>
      </c>
      <c r="AD43" s="2">
        <v>144.16030000000001</v>
      </c>
      <c r="AE43" s="1">
        <v>38168</v>
      </c>
      <c r="AF43" s="2">
        <v>134.81030000000001</v>
      </c>
      <c r="AG43" s="1">
        <v>38168</v>
      </c>
      <c r="AH43" s="2">
        <v>201.3074</v>
      </c>
      <c r="AI43" s="1">
        <v>38168</v>
      </c>
      <c r="AJ43" s="2">
        <v>136.38069999999999</v>
      </c>
      <c r="AK43" s="1">
        <v>37802</v>
      </c>
      <c r="AL43" s="2">
        <v>1841.9</v>
      </c>
      <c r="AM43" s="1">
        <v>37802</v>
      </c>
      <c r="AN43" s="2">
        <v>530.92999999999995</v>
      </c>
      <c r="AO43" s="1">
        <v>37802</v>
      </c>
      <c r="AP43" s="2">
        <v>943.79</v>
      </c>
      <c r="AQ43" s="1">
        <v>37802</v>
      </c>
      <c r="AR43" s="2">
        <v>456.52</v>
      </c>
      <c r="AS43" s="1">
        <v>37802</v>
      </c>
      <c r="AT43" s="2">
        <v>2993.11</v>
      </c>
      <c r="AU43" s="1">
        <v>37802</v>
      </c>
      <c r="AV43" s="2">
        <v>1411.22</v>
      </c>
      <c r="AW43" s="1">
        <v>39262</v>
      </c>
      <c r="AX43" s="2">
        <v>1967.67</v>
      </c>
      <c r="AY43" s="1">
        <v>39202</v>
      </c>
      <c r="AZ43" s="2">
        <v>197.64</v>
      </c>
      <c r="BA43" s="1">
        <v>42886</v>
      </c>
      <c r="BB43" s="2">
        <v>1293.22</v>
      </c>
      <c r="BC43" s="1">
        <v>37802</v>
      </c>
      <c r="BD43" s="2">
        <v>1.1399999999999999</v>
      </c>
      <c r="BE43" s="1">
        <v>37802</v>
      </c>
      <c r="BF43" s="2">
        <v>110.262</v>
      </c>
      <c r="BG43" s="1">
        <v>37802</v>
      </c>
      <c r="BH43" s="2">
        <v>266.13299999999998</v>
      </c>
      <c r="BI43" s="1">
        <v>37802</v>
      </c>
      <c r="BJ43" s="2">
        <v>214.565</v>
      </c>
      <c r="BK43" s="1">
        <v>37802</v>
      </c>
      <c r="BL43" s="2">
        <v>562.68200000000002</v>
      </c>
      <c r="BM43" s="1">
        <v>39325</v>
      </c>
      <c r="BN43" s="2">
        <v>1546.884</v>
      </c>
      <c r="BO43" s="1">
        <v>39416</v>
      </c>
      <c r="BP43" s="2">
        <v>151.63</v>
      </c>
    </row>
    <row r="44" spans="1:68" x14ac:dyDescent="0.25">
      <c r="A44" s="1">
        <v>37833</v>
      </c>
      <c r="B44" s="2">
        <v>1490.7840000000001</v>
      </c>
      <c r="C44" s="1">
        <v>37833</v>
      </c>
      <c r="D44" s="2">
        <v>157.50700000000001</v>
      </c>
      <c r="E44" s="1">
        <v>37833</v>
      </c>
      <c r="F44" s="2">
        <v>157.387</v>
      </c>
      <c r="G44" s="1">
        <v>37833</v>
      </c>
      <c r="H44" s="2">
        <v>153.42410000000001</v>
      </c>
      <c r="I44" s="1">
        <v>37862</v>
      </c>
      <c r="J44" s="2">
        <v>110.5313</v>
      </c>
      <c r="K44" s="1">
        <v>37833</v>
      </c>
      <c r="L44" s="2">
        <v>115.161</v>
      </c>
      <c r="M44" s="1">
        <v>37833</v>
      </c>
      <c r="N44" s="2">
        <v>117.72750000000001</v>
      </c>
      <c r="O44" s="1">
        <v>37862</v>
      </c>
      <c r="P44" s="2">
        <v>101.31480000000001</v>
      </c>
      <c r="Q44" s="1">
        <v>37833</v>
      </c>
      <c r="R44" s="2">
        <v>127.81780000000001</v>
      </c>
      <c r="S44" s="1">
        <v>37833</v>
      </c>
      <c r="T44" s="2">
        <v>281.39859999999999</v>
      </c>
      <c r="U44" s="1">
        <v>37833</v>
      </c>
      <c r="V44" s="2">
        <v>163.84209999999999</v>
      </c>
      <c r="W44" s="1">
        <v>37833</v>
      </c>
      <c r="X44" s="2">
        <v>1143.93</v>
      </c>
      <c r="Y44" s="1">
        <v>37833</v>
      </c>
      <c r="Z44" s="2">
        <v>266.62900000000002</v>
      </c>
      <c r="AA44" s="1">
        <v>38198</v>
      </c>
      <c r="AB44" s="2">
        <v>165.68979999999999</v>
      </c>
      <c r="AC44" s="1">
        <v>37833</v>
      </c>
      <c r="AD44" s="2">
        <v>145.68780000000001</v>
      </c>
      <c r="AE44" s="1">
        <v>38198</v>
      </c>
      <c r="AF44" s="2">
        <v>126.35939999999999</v>
      </c>
      <c r="AG44" s="1">
        <v>38198</v>
      </c>
      <c r="AH44" s="2">
        <v>226.86969999999999</v>
      </c>
      <c r="AI44" s="1">
        <v>38198</v>
      </c>
      <c r="AJ44" s="2">
        <v>141.32409999999999</v>
      </c>
      <c r="AK44" s="1">
        <v>37833</v>
      </c>
      <c r="AL44" s="2">
        <v>1879.09</v>
      </c>
      <c r="AM44" s="1">
        <v>37833</v>
      </c>
      <c r="AN44" s="2">
        <v>528.03</v>
      </c>
      <c r="AO44" s="1">
        <v>37833</v>
      </c>
      <c r="AP44" s="2">
        <v>942.8</v>
      </c>
      <c r="AQ44" s="1">
        <v>37833</v>
      </c>
      <c r="AR44" s="2">
        <v>462.87</v>
      </c>
      <c r="AS44" s="1">
        <v>37833</v>
      </c>
      <c r="AT44" s="2">
        <v>3056.1</v>
      </c>
      <c r="AU44" s="1">
        <v>37833</v>
      </c>
      <c r="AV44" s="2">
        <v>1438.49</v>
      </c>
      <c r="AW44" s="1">
        <v>39294</v>
      </c>
      <c r="AX44" s="2">
        <v>2019.36</v>
      </c>
      <c r="AY44" s="1">
        <v>39233</v>
      </c>
      <c r="AZ44" s="2">
        <v>199.23</v>
      </c>
      <c r="BA44" s="1">
        <v>42916</v>
      </c>
      <c r="BB44" s="2">
        <v>1298.6099999999999</v>
      </c>
      <c r="BC44" s="1">
        <v>37833</v>
      </c>
      <c r="BD44" s="2">
        <v>1.1000000000000001</v>
      </c>
      <c r="BE44" s="1">
        <v>37833</v>
      </c>
      <c r="BF44" s="2">
        <v>118.879</v>
      </c>
      <c r="BG44" s="1">
        <v>37833</v>
      </c>
      <c r="BH44" s="2">
        <v>346.23899999999998</v>
      </c>
      <c r="BI44" s="1">
        <v>37833</v>
      </c>
      <c r="BJ44" s="2">
        <v>213.55099999999999</v>
      </c>
      <c r="BK44" s="1">
        <v>37833</v>
      </c>
      <c r="BL44" s="2">
        <v>545.95690000000002</v>
      </c>
      <c r="BM44" s="1">
        <v>39353</v>
      </c>
      <c r="BN44" s="2">
        <v>1631.14</v>
      </c>
      <c r="BO44" s="1">
        <v>39447</v>
      </c>
      <c r="BP44" s="2">
        <v>156.41</v>
      </c>
    </row>
    <row r="45" spans="1:68" x14ac:dyDescent="0.25">
      <c r="A45" s="1">
        <v>37862</v>
      </c>
      <c r="B45" s="2">
        <v>1533.454</v>
      </c>
      <c r="C45" s="1">
        <v>37862</v>
      </c>
      <c r="D45" s="2">
        <v>157.577</v>
      </c>
      <c r="E45" s="1">
        <v>37862</v>
      </c>
      <c r="F45" s="2">
        <v>156.321</v>
      </c>
      <c r="G45" s="1">
        <v>37862</v>
      </c>
      <c r="H45" s="2">
        <v>154.00989999999999</v>
      </c>
      <c r="I45" s="1">
        <v>37894</v>
      </c>
      <c r="J45" s="2">
        <v>111.02290000000001</v>
      </c>
      <c r="K45" s="1">
        <v>37862</v>
      </c>
      <c r="L45" s="2">
        <v>116.8139</v>
      </c>
      <c r="M45" s="1">
        <v>37862</v>
      </c>
      <c r="N45" s="2">
        <v>117.9811</v>
      </c>
      <c r="O45" s="1">
        <v>37894</v>
      </c>
      <c r="P45" s="2">
        <v>101.96429999999999</v>
      </c>
      <c r="Q45" s="1">
        <v>37862</v>
      </c>
      <c r="R45" s="2">
        <v>127.7756</v>
      </c>
      <c r="S45" s="1">
        <v>37862</v>
      </c>
      <c r="T45" s="2">
        <v>281.26839999999999</v>
      </c>
      <c r="U45" s="1">
        <v>37862</v>
      </c>
      <c r="V45" s="2">
        <v>164.2595</v>
      </c>
      <c r="W45" s="1">
        <v>37862</v>
      </c>
      <c r="X45" s="2">
        <v>1152.06</v>
      </c>
      <c r="Y45" s="1">
        <v>37862</v>
      </c>
      <c r="Z45" s="2">
        <v>249.16900000000001</v>
      </c>
      <c r="AA45" s="1">
        <v>38230</v>
      </c>
      <c r="AB45" s="2">
        <v>165.99019999999999</v>
      </c>
      <c r="AC45" s="1">
        <v>37862</v>
      </c>
      <c r="AD45" s="2">
        <v>151.58680000000001</v>
      </c>
      <c r="AE45" s="1">
        <v>38230</v>
      </c>
      <c r="AF45" s="2">
        <v>130.6771</v>
      </c>
      <c r="AG45" s="1">
        <v>38230</v>
      </c>
      <c r="AH45" s="2">
        <v>221.92410000000001</v>
      </c>
      <c r="AI45" s="1">
        <v>38230</v>
      </c>
      <c r="AJ45" s="2">
        <v>147.56880000000001</v>
      </c>
      <c r="AK45" s="1">
        <v>37862</v>
      </c>
      <c r="AL45" s="2">
        <v>1919.46</v>
      </c>
      <c r="AM45" s="1">
        <v>37862</v>
      </c>
      <c r="AN45" s="2">
        <v>536.83000000000004</v>
      </c>
      <c r="AO45" s="1">
        <v>37862</v>
      </c>
      <c r="AP45" s="2">
        <v>955.86</v>
      </c>
      <c r="AQ45" s="1">
        <v>37862</v>
      </c>
      <c r="AR45" s="2">
        <v>469.22</v>
      </c>
      <c r="AS45" s="1">
        <v>37862</v>
      </c>
      <c r="AT45" s="2">
        <v>3126.11</v>
      </c>
      <c r="AU45" s="1">
        <v>37862</v>
      </c>
      <c r="AV45" s="2">
        <v>1467.3</v>
      </c>
      <c r="AW45" s="1">
        <v>39325</v>
      </c>
      <c r="AX45" s="2">
        <v>2041.65</v>
      </c>
      <c r="AY45" s="1">
        <v>39262</v>
      </c>
      <c r="AZ45" s="2">
        <v>193.09</v>
      </c>
      <c r="BA45" s="1">
        <v>42947</v>
      </c>
      <c r="BB45" s="2">
        <v>1313.14</v>
      </c>
      <c r="BC45" s="1">
        <v>37862</v>
      </c>
      <c r="BD45" s="2">
        <v>1.0900000000000001</v>
      </c>
      <c r="BE45" s="1">
        <v>37862</v>
      </c>
      <c r="BF45" s="2">
        <v>100.545</v>
      </c>
      <c r="BG45" s="1">
        <v>37862</v>
      </c>
      <c r="BH45" s="2">
        <v>348.88499999999999</v>
      </c>
      <c r="BI45" s="1">
        <v>37862</v>
      </c>
      <c r="BJ45" s="2">
        <v>176.15799999999999</v>
      </c>
      <c r="BK45" s="1">
        <v>37862</v>
      </c>
      <c r="BL45" s="2">
        <v>542.99980000000005</v>
      </c>
      <c r="BM45" s="1">
        <v>39386</v>
      </c>
      <c r="BN45" s="2">
        <v>1695.16</v>
      </c>
      <c r="BO45" s="1">
        <v>39478</v>
      </c>
      <c r="BP45" s="2">
        <v>153.97999999999999</v>
      </c>
    </row>
    <row r="46" spans="1:68" x14ac:dyDescent="0.25">
      <c r="A46" s="1">
        <v>37894</v>
      </c>
      <c r="B46" s="2">
        <v>1466.377</v>
      </c>
      <c r="C46" s="1">
        <v>37894</v>
      </c>
      <c r="D46" s="2">
        <v>159.52770000000001</v>
      </c>
      <c r="E46" s="1">
        <v>37894</v>
      </c>
      <c r="F46" s="2">
        <v>158.143</v>
      </c>
      <c r="G46" s="1">
        <v>37894</v>
      </c>
      <c r="H46" s="2">
        <v>159.37710000000001</v>
      </c>
      <c r="I46" s="1">
        <v>37925</v>
      </c>
      <c r="J46" s="2">
        <v>112.1165</v>
      </c>
      <c r="K46" s="1">
        <v>37894</v>
      </c>
      <c r="L46" s="2">
        <v>114.8977</v>
      </c>
      <c r="M46" s="1">
        <v>37894</v>
      </c>
      <c r="N46" s="2">
        <v>118.34180000000001</v>
      </c>
      <c r="O46" s="1">
        <v>37925</v>
      </c>
      <c r="P46" s="2">
        <v>103.43210000000001</v>
      </c>
      <c r="Q46" s="1">
        <v>37894</v>
      </c>
      <c r="R46" s="2">
        <v>130.03530000000001</v>
      </c>
      <c r="S46" s="1">
        <v>37894</v>
      </c>
      <c r="T46" s="2">
        <v>286.22550000000001</v>
      </c>
      <c r="U46" s="1">
        <v>37894</v>
      </c>
      <c r="V46" s="2">
        <v>172.94759999999999</v>
      </c>
      <c r="W46" s="1">
        <v>37894</v>
      </c>
      <c r="X46" s="2">
        <v>1171.69</v>
      </c>
      <c r="Y46" s="1">
        <v>37894</v>
      </c>
      <c r="Z46" s="2">
        <v>247.97800000000001</v>
      </c>
      <c r="AA46" s="1">
        <v>38260</v>
      </c>
      <c r="AB46" s="2">
        <v>179.4143</v>
      </c>
      <c r="AC46" s="1">
        <v>37894</v>
      </c>
      <c r="AD46" s="2">
        <v>152.5643</v>
      </c>
      <c r="AE46" s="1">
        <v>38260</v>
      </c>
      <c r="AF46" s="2">
        <v>124.8818</v>
      </c>
      <c r="AG46" s="1">
        <v>38260</v>
      </c>
      <c r="AH46" s="2">
        <v>261.4024</v>
      </c>
      <c r="AI46" s="1">
        <v>38260</v>
      </c>
      <c r="AJ46" s="2">
        <v>150.61250000000001</v>
      </c>
      <c r="AK46" s="1">
        <v>37894</v>
      </c>
      <c r="AL46" s="2">
        <v>1931.01</v>
      </c>
      <c r="AM46" s="1">
        <v>37894</v>
      </c>
      <c r="AN46" s="2">
        <v>539.27</v>
      </c>
      <c r="AO46" s="1">
        <v>37894</v>
      </c>
      <c r="AP46" s="2">
        <v>978.24</v>
      </c>
      <c r="AQ46" s="1">
        <v>37894</v>
      </c>
      <c r="AR46" s="2">
        <v>474.28</v>
      </c>
      <c r="AS46" s="1">
        <v>37894</v>
      </c>
      <c r="AT46" s="2">
        <v>3146.04</v>
      </c>
      <c r="AU46" s="1">
        <v>37894</v>
      </c>
      <c r="AV46" s="2">
        <v>1475.59</v>
      </c>
      <c r="AW46" s="1">
        <v>39353</v>
      </c>
      <c r="AX46" s="2">
        <v>2156.4299999999998</v>
      </c>
      <c r="AY46" s="1">
        <v>39294</v>
      </c>
      <c r="AZ46" s="2">
        <v>181.1</v>
      </c>
      <c r="BA46" s="1">
        <v>42978</v>
      </c>
      <c r="BB46" s="2">
        <v>1318.7</v>
      </c>
      <c r="BC46" s="1">
        <v>37894</v>
      </c>
      <c r="BD46" s="2">
        <v>1.03</v>
      </c>
      <c r="BE46" s="1">
        <v>37894</v>
      </c>
      <c r="BF46" s="2">
        <v>111.351</v>
      </c>
      <c r="BG46" s="1">
        <v>37894</v>
      </c>
      <c r="BH46" s="2">
        <v>300.97399999999999</v>
      </c>
      <c r="BI46" s="1">
        <v>37894</v>
      </c>
      <c r="BJ46" s="2">
        <v>205.72</v>
      </c>
      <c r="BK46" s="1">
        <v>37894</v>
      </c>
      <c r="BL46" s="2">
        <v>573.78560000000004</v>
      </c>
      <c r="BM46" s="1">
        <v>39416</v>
      </c>
      <c r="BN46" s="2">
        <v>1640.982</v>
      </c>
      <c r="BO46" s="1">
        <v>39507</v>
      </c>
      <c r="BP46" s="2">
        <v>153.44</v>
      </c>
    </row>
    <row r="47" spans="1:68" x14ac:dyDescent="0.25">
      <c r="A47" s="1">
        <v>37925</v>
      </c>
      <c r="B47" s="2">
        <v>1514.153</v>
      </c>
      <c r="C47" s="1">
        <v>37925</v>
      </c>
      <c r="D47" s="2">
        <v>163.97659999999999</v>
      </c>
      <c r="E47" s="1">
        <v>37925</v>
      </c>
      <c r="F47" s="2">
        <v>163.434</v>
      </c>
      <c r="G47" s="1">
        <v>37925</v>
      </c>
      <c r="H47" s="2">
        <v>158.7055</v>
      </c>
      <c r="I47" s="1">
        <v>37953</v>
      </c>
      <c r="J47" s="2">
        <v>112.6996</v>
      </c>
      <c r="K47" s="1">
        <v>37925</v>
      </c>
      <c r="L47" s="2">
        <v>118.2217</v>
      </c>
      <c r="M47" s="1">
        <v>37925</v>
      </c>
      <c r="N47" s="2">
        <v>116.4705</v>
      </c>
      <c r="O47" s="1">
        <v>37953</v>
      </c>
      <c r="P47" s="2">
        <v>104.1233</v>
      </c>
      <c r="Q47" s="1">
        <v>37925</v>
      </c>
      <c r="R47" s="2">
        <v>130.26499999999999</v>
      </c>
      <c r="S47" s="1">
        <v>37925</v>
      </c>
      <c r="T47" s="2">
        <v>283.529</v>
      </c>
      <c r="U47" s="1">
        <v>37925</v>
      </c>
      <c r="V47" s="2">
        <v>173.4205</v>
      </c>
      <c r="W47" s="1">
        <v>37925</v>
      </c>
      <c r="X47" s="2">
        <v>1167.6300000000001</v>
      </c>
      <c r="Y47" s="1">
        <v>37925</v>
      </c>
      <c r="Z47" s="2">
        <v>247.262</v>
      </c>
      <c r="AA47" s="1">
        <v>38289</v>
      </c>
      <c r="AB47" s="2">
        <v>184.69839999999999</v>
      </c>
      <c r="AC47" s="1">
        <v>37925</v>
      </c>
      <c r="AD47" s="2">
        <v>159.4299</v>
      </c>
      <c r="AE47" s="1">
        <v>38289</v>
      </c>
      <c r="AF47" s="2">
        <v>123.434</v>
      </c>
      <c r="AG47" s="1">
        <v>38289</v>
      </c>
      <c r="AH47" s="2">
        <v>284.09620000000001</v>
      </c>
      <c r="AI47" s="1">
        <v>38289</v>
      </c>
      <c r="AJ47" s="2">
        <v>155.5951</v>
      </c>
      <c r="AK47" s="1">
        <v>37925</v>
      </c>
      <c r="AL47" s="2">
        <v>2045.41</v>
      </c>
      <c r="AM47" s="1">
        <v>37925</v>
      </c>
      <c r="AN47" s="2">
        <v>561.34</v>
      </c>
      <c r="AO47" s="1">
        <v>37925</v>
      </c>
      <c r="AP47" s="2">
        <v>1013.91</v>
      </c>
      <c r="AQ47" s="1">
        <v>37925</v>
      </c>
      <c r="AR47" s="2">
        <v>501.64</v>
      </c>
      <c r="AS47" s="1">
        <v>37925</v>
      </c>
      <c r="AT47" s="2">
        <v>3331.57</v>
      </c>
      <c r="AU47" s="1">
        <v>37925</v>
      </c>
      <c r="AV47" s="2">
        <v>1563.41</v>
      </c>
      <c r="AW47" s="1">
        <v>39386</v>
      </c>
      <c r="AX47" s="2">
        <v>2217.6999999999998</v>
      </c>
      <c r="AY47" s="1">
        <v>39325</v>
      </c>
      <c r="AZ47" s="2">
        <v>176.4</v>
      </c>
      <c r="BA47" s="1">
        <v>43007</v>
      </c>
      <c r="BB47" s="2">
        <v>1337.87</v>
      </c>
      <c r="BC47" s="1">
        <v>37925</v>
      </c>
      <c r="BD47" s="2">
        <v>0.97</v>
      </c>
      <c r="BE47" s="1">
        <v>37925</v>
      </c>
      <c r="BF47" s="2">
        <v>105.164</v>
      </c>
      <c r="BG47" s="1">
        <v>37925</v>
      </c>
      <c r="BH47" s="2">
        <v>334.49900000000002</v>
      </c>
      <c r="BI47" s="1">
        <v>37925</v>
      </c>
      <c r="BJ47" s="2">
        <v>188.84200000000001</v>
      </c>
      <c r="BK47" s="1">
        <v>37925</v>
      </c>
      <c r="BL47" s="2">
        <v>570.90549999999996</v>
      </c>
      <c r="BM47" s="1">
        <v>39447</v>
      </c>
      <c r="BN47" s="2">
        <v>1629.0909999999999</v>
      </c>
      <c r="BO47" s="1">
        <v>39538</v>
      </c>
      <c r="BP47" s="2">
        <v>153.94</v>
      </c>
    </row>
    <row r="48" spans="1:68" x14ac:dyDescent="0.25">
      <c r="A48" s="1">
        <v>37953</v>
      </c>
      <c r="B48" s="2">
        <v>1512.0119999999999</v>
      </c>
      <c r="C48" s="1">
        <v>37953</v>
      </c>
      <c r="D48" s="2">
        <v>167.0515</v>
      </c>
      <c r="E48" s="1">
        <v>37953</v>
      </c>
      <c r="F48" s="2">
        <v>166.25299999999999</v>
      </c>
      <c r="G48" s="1">
        <v>37953</v>
      </c>
      <c r="H48" s="2">
        <v>161.49940000000001</v>
      </c>
      <c r="I48" s="1">
        <v>37986</v>
      </c>
      <c r="J48" s="2">
        <v>113.9629</v>
      </c>
      <c r="K48" s="1">
        <v>37953</v>
      </c>
      <c r="L48" s="2">
        <v>118.3038</v>
      </c>
      <c r="M48" s="1">
        <v>37953</v>
      </c>
      <c r="N48" s="2">
        <v>115.70740000000001</v>
      </c>
      <c r="O48" s="1">
        <v>37986</v>
      </c>
      <c r="P48" s="2">
        <v>104.6696</v>
      </c>
      <c r="Q48" s="1">
        <v>37953</v>
      </c>
      <c r="R48" s="2">
        <v>131.96090000000001</v>
      </c>
      <c r="S48" s="1">
        <v>37953</v>
      </c>
      <c r="T48" s="2">
        <v>283.93150000000003</v>
      </c>
      <c r="U48" s="1">
        <v>37953</v>
      </c>
      <c r="V48" s="2">
        <v>175.54339999999999</v>
      </c>
      <c r="W48" s="1">
        <v>37953</v>
      </c>
      <c r="X48" s="2">
        <v>1170.07</v>
      </c>
      <c r="Y48" s="1">
        <v>37953</v>
      </c>
      <c r="Z48" s="2">
        <v>234.19</v>
      </c>
      <c r="AA48" s="1">
        <v>38321</v>
      </c>
      <c r="AB48" s="2">
        <v>183.87610000000001</v>
      </c>
      <c r="AC48" s="1">
        <v>37953</v>
      </c>
      <c r="AD48" s="2">
        <v>160.09649999999999</v>
      </c>
      <c r="AE48" s="1">
        <v>38321</v>
      </c>
      <c r="AF48" s="2">
        <v>125.0716</v>
      </c>
      <c r="AG48" s="1">
        <v>38321</v>
      </c>
      <c r="AH48" s="2">
        <v>270.09089999999998</v>
      </c>
      <c r="AI48" s="1">
        <v>38321</v>
      </c>
      <c r="AJ48" s="2">
        <v>164.29</v>
      </c>
      <c r="AK48" s="1">
        <v>37953</v>
      </c>
      <c r="AL48" s="2">
        <v>2076.3200000000002</v>
      </c>
      <c r="AM48" s="1">
        <v>37953</v>
      </c>
      <c r="AN48" s="2">
        <v>569.26</v>
      </c>
      <c r="AO48" s="1">
        <v>37953</v>
      </c>
      <c r="AP48" s="2">
        <v>1036.8800000000001</v>
      </c>
      <c r="AQ48" s="1">
        <v>37953</v>
      </c>
      <c r="AR48" s="2">
        <v>507.42</v>
      </c>
      <c r="AS48" s="1">
        <v>37953</v>
      </c>
      <c r="AT48" s="2">
        <v>3385.15</v>
      </c>
      <c r="AU48" s="1">
        <v>37953</v>
      </c>
      <c r="AV48" s="2">
        <v>1585.5</v>
      </c>
      <c r="AW48" s="1">
        <v>39416</v>
      </c>
      <c r="AX48" s="2">
        <v>2239.71</v>
      </c>
      <c r="AY48" s="1">
        <v>39353</v>
      </c>
      <c r="AZ48" s="2">
        <v>180.48</v>
      </c>
      <c r="BA48" s="1">
        <v>43039</v>
      </c>
      <c r="BB48" s="2">
        <v>1339.7</v>
      </c>
      <c r="BC48" s="1">
        <v>37953</v>
      </c>
      <c r="BD48" s="2">
        <v>0.91</v>
      </c>
      <c r="BE48" s="1">
        <v>37953</v>
      </c>
      <c r="BF48" s="2">
        <v>97.593999999999994</v>
      </c>
      <c r="BG48" s="1">
        <v>37953</v>
      </c>
      <c r="BH48" s="2">
        <v>343.279</v>
      </c>
      <c r="BI48" s="1">
        <v>37953</v>
      </c>
      <c r="BJ48" s="2">
        <v>177.27600000000001</v>
      </c>
      <c r="BK48" s="1">
        <v>37953</v>
      </c>
      <c r="BL48" s="2">
        <v>580.53319999999997</v>
      </c>
      <c r="BM48" s="1">
        <v>39478</v>
      </c>
      <c r="BN48" s="2">
        <v>1490.0219999999999</v>
      </c>
      <c r="BO48" s="1">
        <v>39568</v>
      </c>
      <c r="BP48" s="2">
        <v>164.69</v>
      </c>
    </row>
    <row r="49" spans="1:68" x14ac:dyDescent="0.25">
      <c r="A49" s="1">
        <v>37986</v>
      </c>
      <c r="B49" s="2">
        <v>1575.1479999999999</v>
      </c>
      <c r="C49" s="1">
        <v>37986</v>
      </c>
      <c r="D49" s="2">
        <v>169.02430000000001</v>
      </c>
      <c r="E49" s="1">
        <v>37986</v>
      </c>
      <c r="F49" s="2">
        <v>169.15100000000001</v>
      </c>
      <c r="G49" s="1">
        <v>37986</v>
      </c>
      <c r="H49" s="2">
        <v>165.47499999999999</v>
      </c>
      <c r="I49" s="1">
        <v>38016</v>
      </c>
      <c r="J49" s="2">
        <v>114.77630000000001</v>
      </c>
      <c r="K49" s="1">
        <v>37986</v>
      </c>
      <c r="L49" s="2">
        <v>120.83880000000001</v>
      </c>
      <c r="M49" s="1">
        <v>37986</v>
      </c>
      <c r="N49" s="2">
        <v>115.4901</v>
      </c>
      <c r="O49" s="1">
        <v>38016</v>
      </c>
      <c r="P49" s="2">
        <v>105.42230000000001</v>
      </c>
      <c r="Q49" s="1">
        <v>37986</v>
      </c>
      <c r="R49" s="2">
        <v>135.09379999999999</v>
      </c>
      <c r="S49" s="1">
        <v>37986</v>
      </c>
      <c r="T49" s="2">
        <v>286.64330000000001</v>
      </c>
      <c r="U49" s="1">
        <v>37986</v>
      </c>
      <c r="V49" s="2">
        <v>182.74959999999999</v>
      </c>
      <c r="W49" s="1">
        <v>37986</v>
      </c>
      <c r="X49" s="2">
        <v>1182.6400000000001</v>
      </c>
      <c r="Y49" s="1">
        <v>37986</v>
      </c>
      <c r="Z49" s="2">
        <v>241.297</v>
      </c>
      <c r="AA49" s="1">
        <v>38352</v>
      </c>
      <c r="AB49" s="2">
        <v>176.5575</v>
      </c>
      <c r="AC49" s="1">
        <v>37986</v>
      </c>
      <c r="AD49" s="2">
        <v>172.21190000000001</v>
      </c>
      <c r="AE49" s="1">
        <v>38352</v>
      </c>
      <c r="AF49" s="2">
        <v>126.99890000000001</v>
      </c>
      <c r="AG49" s="1">
        <v>38352</v>
      </c>
      <c r="AH49" s="2">
        <v>240.09989999999999</v>
      </c>
      <c r="AI49" s="1">
        <v>38352</v>
      </c>
      <c r="AJ49" s="2">
        <v>154.53890000000001</v>
      </c>
      <c r="AK49" s="1">
        <v>37986</v>
      </c>
      <c r="AL49" s="2">
        <v>2206.42</v>
      </c>
      <c r="AM49" s="1">
        <v>37986</v>
      </c>
      <c r="AN49" s="2">
        <v>599.45000000000005</v>
      </c>
      <c r="AO49" s="1">
        <v>37986</v>
      </c>
      <c r="AP49" s="2">
        <v>1092.4000000000001</v>
      </c>
      <c r="AQ49" s="1">
        <v>37986</v>
      </c>
      <c r="AR49" s="2">
        <v>524.62</v>
      </c>
      <c r="AS49" s="1">
        <v>37986</v>
      </c>
      <c r="AT49" s="2">
        <v>3646.61</v>
      </c>
      <c r="AU49" s="1">
        <v>37986</v>
      </c>
      <c r="AV49" s="2">
        <v>1661.74</v>
      </c>
      <c r="AW49" s="1">
        <v>39447</v>
      </c>
      <c r="AX49" s="2">
        <v>2278.15</v>
      </c>
      <c r="AY49" s="1">
        <v>39386</v>
      </c>
      <c r="AZ49" s="2">
        <v>187.88</v>
      </c>
      <c r="BA49" s="1">
        <v>43069</v>
      </c>
      <c r="BB49" s="2">
        <v>1352.88</v>
      </c>
      <c r="BC49" s="1">
        <v>37986</v>
      </c>
      <c r="BD49" s="2">
        <v>0.89</v>
      </c>
      <c r="BE49" s="1">
        <v>37986</v>
      </c>
      <c r="BF49" s="2">
        <v>103.292</v>
      </c>
      <c r="BG49" s="1">
        <v>37986</v>
      </c>
      <c r="BH49" s="2">
        <v>332.56</v>
      </c>
      <c r="BI49" s="1">
        <v>37986</v>
      </c>
      <c r="BJ49" s="2">
        <v>185.58099999999999</v>
      </c>
      <c r="BK49" s="1">
        <v>37986</v>
      </c>
      <c r="BL49" s="2">
        <v>603.67359999999996</v>
      </c>
      <c r="BM49" s="1">
        <v>39507</v>
      </c>
      <c r="BN49" s="2">
        <v>1504.586</v>
      </c>
      <c r="BO49" s="1">
        <v>39598</v>
      </c>
      <c r="BP49" s="2">
        <v>173.3</v>
      </c>
    </row>
    <row r="50" spans="1:68" x14ac:dyDescent="0.25">
      <c r="A50" s="1">
        <v>38016</v>
      </c>
      <c r="B50" s="2">
        <v>1597.0450000000001</v>
      </c>
      <c r="C50" s="1">
        <v>38016</v>
      </c>
      <c r="D50" s="2">
        <v>172.72880000000001</v>
      </c>
      <c r="E50" s="1">
        <v>38016</v>
      </c>
      <c r="F50" s="2">
        <v>173.11799999999999</v>
      </c>
      <c r="G50" s="1">
        <v>38016</v>
      </c>
      <c r="H50" s="2">
        <v>166.21209999999999</v>
      </c>
      <c r="I50" s="1">
        <v>38044</v>
      </c>
      <c r="J50" s="2">
        <v>116.52589999999999</v>
      </c>
      <c r="K50" s="1">
        <v>38016</v>
      </c>
      <c r="L50" s="2">
        <v>123.2236</v>
      </c>
      <c r="M50" s="1">
        <v>38016</v>
      </c>
      <c r="N50" s="2">
        <v>115.8348</v>
      </c>
      <c r="O50" s="1">
        <v>38044</v>
      </c>
      <c r="P50" s="2">
        <v>107.6833</v>
      </c>
      <c r="Q50" s="1">
        <v>38016</v>
      </c>
      <c r="R50" s="2">
        <v>135.11770000000001</v>
      </c>
      <c r="S50" s="1">
        <v>38016</v>
      </c>
      <c r="T50" s="2">
        <v>288.3134</v>
      </c>
      <c r="U50" s="1">
        <v>38016</v>
      </c>
      <c r="V50" s="2">
        <v>184.22720000000001</v>
      </c>
      <c r="W50" s="1">
        <v>38016</v>
      </c>
      <c r="X50" s="2">
        <v>1190.05</v>
      </c>
      <c r="Y50" s="1">
        <v>38016</v>
      </c>
      <c r="Z50" s="2">
        <v>231.36500000000001</v>
      </c>
      <c r="AA50" s="1">
        <v>38383</v>
      </c>
      <c r="AB50" s="2">
        <v>180.72030000000001</v>
      </c>
      <c r="AC50" s="1">
        <v>38016</v>
      </c>
      <c r="AD50" s="2">
        <v>178.03370000000001</v>
      </c>
      <c r="AE50" s="1">
        <v>38383</v>
      </c>
      <c r="AF50" s="2">
        <v>123.6392</v>
      </c>
      <c r="AG50" s="1">
        <v>38383</v>
      </c>
      <c r="AH50" s="2">
        <v>267.70549999999997</v>
      </c>
      <c r="AI50" s="1">
        <v>38383</v>
      </c>
      <c r="AJ50" s="2">
        <v>150.02690000000001</v>
      </c>
      <c r="AK50" s="1">
        <v>38016</v>
      </c>
      <c r="AL50" s="2">
        <v>2241.83</v>
      </c>
      <c r="AM50" s="1">
        <v>38016</v>
      </c>
      <c r="AN50" s="2">
        <v>601.58000000000004</v>
      </c>
      <c r="AO50" s="1">
        <v>38016</v>
      </c>
      <c r="AP50" s="2">
        <v>1104.3800000000001</v>
      </c>
      <c r="AQ50" s="1">
        <v>38016</v>
      </c>
      <c r="AR50" s="2">
        <v>530.55999999999995</v>
      </c>
      <c r="AS50" s="1">
        <v>38016</v>
      </c>
      <c r="AT50" s="2">
        <v>3689.46</v>
      </c>
      <c r="AU50" s="1">
        <v>38016</v>
      </c>
      <c r="AV50" s="2">
        <v>1695.73</v>
      </c>
      <c r="AW50" s="1">
        <v>39478</v>
      </c>
      <c r="AX50" s="2">
        <v>2308.92</v>
      </c>
      <c r="AY50" s="1">
        <v>39416</v>
      </c>
      <c r="AZ50" s="2">
        <v>170.19</v>
      </c>
      <c r="BA50" s="1">
        <v>43098</v>
      </c>
      <c r="BB50" s="2">
        <v>1364.18</v>
      </c>
      <c r="BC50" s="1">
        <v>38016</v>
      </c>
      <c r="BD50" s="2">
        <v>0.87</v>
      </c>
      <c r="BE50" s="1">
        <v>38016</v>
      </c>
      <c r="BF50" s="2">
        <v>98.864000000000004</v>
      </c>
      <c r="BG50" s="1">
        <v>38016</v>
      </c>
      <c r="BH50" s="2">
        <v>322.01</v>
      </c>
      <c r="BI50" s="1">
        <v>38016</v>
      </c>
      <c r="BJ50" s="2">
        <v>181.608</v>
      </c>
      <c r="BK50" s="1">
        <v>38016</v>
      </c>
      <c r="BL50" s="2">
        <v>605.28250000000003</v>
      </c>
      <c r="BM50" s="1">
        <v>39538</v>
      </c>
      <c r="BN50" s="2">
        <v>1505.5129999999999</v>
      </c>
      <c r="BO50" s="1">
        <v>39629</v>
      </c>
      <c r="BP50" s="2">
        <v>166.43</v>
      </c>
    </row>
    <row r="51" spans="1:68" x14ac:dyDescent="0.25">
      <c r="A51" s="1">
        <v>38044</v>
      </c>
      <c r="B51" s="2">
        <v>1706.9190000000001</v>
      </c>
      <c r="C51" s="1">
        <v>38044</v>
      </c>
      <c r="D51" s="2">
        <v>178.63589999999999</v>
      </c>
      <c r="E51" s="1">
        <v>38044</v>
      </c>
      <c r="F51" s="2">
        <v>179.333</v>
      </c>
      <c r="G51" s="1">
        <v>38044</v>
      </c>
      <c r="H51" s="2">
        <v>169.09030000000001</v>
      </c>
      <c r="I51" s="1">
        <v>38077</v>
      </c>
      <c r="J51" s="2">
        <v>116.3322</v>
      </c>
      <c r="K51" s="1">
        <v>38044</v>
      </c>
      <c r="L51" s="2">
        <v>124.7324</v>
      </c>
      <c r="M51" s="1">
        <v>38044</v>
      </c>
      <c r="N51" s="2">
        <v>117.9449</v>
      </c>
      <c r="O51" s="1">
        <v>38077</v>
      </c>
      <c r="P51" s="2">
        <v>107.9941</v>
      </c>
      <c r="Q51" s="1">
        <v>38044</v>
      </c>
      <c r="R51" s="2">
        <v>135.52950000000001</v>
      </c>
      <c r="S51" s="1">
        <v>38044</v>
      </c>
      <c r="T51" s="2">
        <v>291.21170000000001</v>
      </c>
      <c r="U51" s="1">
        <v>38044</v>
      </c>
      <c r="V51" s="2">
        <v>188.7157</v>
      </c>
      <c r="W51" s="1">
        <v>38044</v>
      </c>
      <c r="X51" s="2">
        <v>1200.08</v>
      </c>
      <c r="Y51" s="1">
        <v>38044</v>
      </c>
      <c r="Z51" s="2">
        <v>232.43799999999999</v>
      </c>
      <c r="AA51" s="1">
        <v>38411</v>
      </c>
      <c r="AB51" s="2">
        <v>195.33349999999999</v>
      </c>
      <c r="AC51" s="1">
        <v>38044</v>
      </c>
      <c r="AD51" s="2">
        <v>190.67509999999999</v>
      </c>
      <c r="AE51" s="1">
        <v>38411</v>
      </c>
      <c r="AF51" s="2">
        <v>136.65129999999999</v>
      </c>
      <c r="AG51" s="1">
        <v>38411</v>
      </c>
      <c r="AH51" s="2">
        <v>288.77019999999999</v>
      </c>
      <c r="AI51" s="1">
        <v>38411</v>
      </c>
      <c r="AJ51" s="2">
        <v>157.46709999999999</v>
      </c>
      <c r="AK51" s="1">
        <v>38044</v>
      </c>
      <c r="AL51" s="2">
        <v>2279.37</v>
      </c>
      <c r="AM51" s="1">
        <v>38044</v>
      </c>
      <c r="AN51" s="2">
        <v>613.19000000000005</v>
      </c>
      <c r="AO51" s="1">
        <v>38044</v>
      </c>
      <c r="AP51" s="2">
        <v>1127.3699999999999</v>
      </c>
      <c r="AQ51" s="1">
        <v>38044</v>
      </c>
      <c r="AR51" s="2">
        <v>540.99</v>
      </c>
      <c r="AS51" s="1">
        <v>38044</v>
      </c>
      <c r="AT51" s="2">
        <v>3767.99</v>
      </c>
      <c r="AU51" s="1">
        <v>38044</v>
      </c>
      <c r="AV51" s="2">
        <v>1716.29</v>
      </c>
      <c r="AW51" s="1">
        <v>39507</v>
      </c>
      <c r="AX51" s="2">
        <v>2454.63</v>
      </c>
      <c r="AY51" s="1">
        <v>39447</v>
      </c>
      <c r="AZ51" s="2">
        <v>159.22</v>
      </c>
      <c r="BA51" s="1">
        <v>43131</v>
      </c>
      <c r="BB51" s="2">
        <v>1368.66</v>
      </c>
      <c r="BC51" s="1">
        <v>38044</v>
      </c>
      <c r="BD51" s="2">
        <v>0.88</v>
      </c>
      <c r="BE51" s="1">
        <v>38044</v>
      </c>
      <c r="BF51" s="2">
        <v>103.032</v>
      </c>
      <c r="BG51" s="1">
        <v>38044</v>
      </c>
      <c r="BH51" s="2">
        <v>303.13600000000002</v>
      </c>
      <c r="BI51" s="1">
        <v>38044</v>
      </c>
      <c r="BJ51" s="2">
        <v>189.77799999999999</v>
      </c>
      <c r="BK51" s="1">
        <v>38044</v>
      </c>
      <c r="BL51" s="2">
        <v>606.21230000000003</v>
      </c>
      <c r="BM51" s="1">
        <v>39568</v>
      </c>
      <c r="BN51" s="2">
        <v>1580.183</v>
      </c>
      <c r="BO51" s="1">
        <v>39660</v>
      </c>
      <c r="BP51" s="2">
        <v>163.74</v>
      </c>
    </row>
    <row r="52" spans="1:68" x14ac:dyDescent="0.25">
      <c r="A52" s="1">
        <v>38077</v>
      </c>
      <c r="B52" s="2">
        <v>1673.4780000000001</v>
      </c>
      <c r="C52" s="1">
        <v>38077</v>
      </c>
      <c r="D52" s="2">
        <v>176.6969</v>
      </c>
      <c r="E52" s="1">
        <v>38077</v>
      </c>
      <c r="F52" s="2">
        <v>173.94</v>
      </c>
      <c r="G52" s="1">
        <v>38077</v>
      </c>
      <c r="H52" s="2">
        <v>172.87100000000001</v>
      </c>
      <c r="I52" s="1">
        <v>38107</v>
      </c>
      <c r="J52" s="2">
        <v>114.7317</v>
      </c>
      <c r="K52" s="1">
        <v>38077</v>
      </c>
      <c r="L52" s="2">
        <v>121.295</v>
      </c>
      <c r="M52" s="1">
        <v>38077</v>
      </c>
      <c r="N52" s="2">
        <v>119.3797</v>
      </c>
      <c r="O52" s="1">
        <v>38107</v>
      </c>
      <c r="P52" s="2">
        <v>107.16889999999999</v>
      </c>
      <c r="Q52" s="1">
        <v>38077</v>
      </c>
      <c r="R52" s="2">
        <v>135.48269999999999</v>
      </c>
      <c r="S52" s="1">
        <v>38077</v>
      </c>
      <c r="T52" s="2">
        <v>292.6739</v>
      </c>
      <c r="U52" s="1">
        <v>38077</v>
      </c>
      <c r="V52" s="2">
        <v>191.0763</v>
      </c>
      <c r="W52" s="1">
        <v>38077</v>
      </c>
      <c r="X52" s="2">
        <v>1205.3399999999999</v>
      </c>
      <c r="Y52" s="1">
        <v>38077</v>
      </c>
      <c r="Z52" s="2">
        <v>226.22</v>
      </c>
      <c r="AA52" s="1">
        <v>38442</v>
      </c>
      <c r="AB52" s="2">
        <v>205.01490000000001</v>
      </c>
      <c r="AC52" s="1">
        <v>38077</v>
      </c>
      <c r="AD52" s="2">
        <v>196.29089999999999</v>
      </c>
      <c r="AE52" s="1">
        <v>38442</v>
      </c>
      <c r="AF52" s="2">
        <v>137.20840000000001</v>
      </c>
      <c r="AG52" s="1">
        <v>38442</v>
      </c>
      <c r="AH52" s="2">
        <v>325.80880000000002</v>
      </c>
      <c r="AI52" s="1">
        <v>38442</v>
      </c>
      <c r="AJ52" s="2">
        <v>154.30359999999999</v>
      </c>
      <c r="AK52" s="1">
        <v>38077</v>
      </c>
      <c r="AL52" s="2">
        <v>2264.2399999999998</v>
      </c>
      <c r="AM52" s="1">
        <v>38077</v>
      </c>
      <c r="AN52" s="2">
        <v>602.86</v>
      </c>
      <c r="AO52" s="1">
        <v>38077</v>
      </c>
      <c r="AP52" s="2">
        <v>1142.74</v>
      </c>
      <c r="AQ52" s="1">
        <v>38077</v>
      </c>
      <c r="AR52" s="2">
        <v>561.78</v>
      </c>
      <c r="AS52" s="1">
        <v>38077</v>
      </c>
      <c r="AT52" s="2">
        <v>3755.55</v>
      </c>
      <c r="AU52" s="1">
        <v>38077</v>
      </c>
      <c r="AV52" s="2">
        <v>1699.04</v>
      </c>
      <c r="AW52" s="1">
        <v>39538</v>
      </c>
      <c r="AX52" s="2">
        <v>2351.34</v>
      </c>
      <c r="AY52" s="1">
        <v>39478</v>
      </c>
      <c r="AZ52" s="2">
        <v>146.47</v>
      </c>
      <c r="BA52" s="1">
        <v>43159</v>
      </c>
      <c r="BB52" s="2">
        <v>1365.55</v>
      </c>
      <c r="BC52" s="1">
        <v>38077</v>
      </c>
      <c r="BD52" s="2">
        <v>0.9</v>
      </c>
      <c r="BE52" s="1">
        <v>38077</v>
      </c>
      <c r="BF52" s="2">
        <v>105.739</v>
      </c>
      <c r="BG52" s="1">
        <v>38077</v>
      </c>
      <c r="BH52" s="2">
        <v>289.59100000000001</v>
      </c>
      <c r="BI52" s="1">
        <v>38077</v>
      </c>
      <c r="BJ52" s="2">
        <v>199.40100000000001</v>
      </c>
      <c r="BK52" s="1">
        <v>38077</v>
      </c>
      <c r="BL52" s="2">
        <v>614.92219999999998</v>
      </c>
      <c r="BM52" s="1">
        <v>39598</v>
      </c>
      <c r="BN52" s="2">
        <v>1575.4559999999999</v>
      </c>
      <c r="BO52" s="1">
        <v>39689</v>
      </c>
      <c r="BP52" s="2">
        <v>167.96</v>
      </c>
    </row>
    <row r="53" spans="1:68" x14ac:dyDescent="0.25">
      <c r="A53" s="1">
        <v>38107</v>
      </c>
      <c r="B53" s="2">
        <v>1545.1569999999999</v>
      </c>
      <c r="C53" s="1">
        <v>38107</v>
      </c>
      <c r="D53" s="2">
        <v>172.50360000000001</v>
      </c>
      <c r="E53" s="1">
        <v>38107</v>
      </c>
      <c r="F53" s="2">
        <v>170.61600000000001</v>
      </c>
      <c r="G53" s="1">
        <v>38107</v>
      </c>
      <c r="H53" s="2">
        <v>167.31270000000001</v>
      </c>
      <c r="I53" s="1">
        <v>38138</v>
      </c>
      <c r="J53" s="2">
        <v>114.2657</v>
      </c>
      <c r="K53" s="1">
        <v>38107</v>
      </c>
      <c r="L53" s="2">
        <v>120.27630000000001</v>
      </c>
      <c r="M53" s="1">
        <v>38107</v>
      </c>
      <c r="N53" s="2">
        <v>115.6037</v>
      </c>
      <c r="O53" s="1">
        <v>38138</v>
      </c>
      <c r="P53" s="2">
        <v>107.3297</v>
      </c>
      <c r="Q53" s="1">
        <v>38107</v>
      </c>
      <c r="R53" s="2">
        <v>132.9862</v>
      </c>
      <c r="S53" s="1">
        <v>38107</v>
      </c>
      <c r="T53" s="2">
        <v>288.18239999999997</v>
      </c>
      <c r="U53" s="1">
        <v>38107</v>
      </c>
      <c r="V53" s="2">
        <v>182.32210000000001</v>
      </c>
      <c r="W53" s="1">
        <v>38107</v>
      </c>
      <c r="X53" s="2">
        <v>1183.8800000000001</v>
      </c>
      <c r="Y53" s="1">
        <v>38107</v>
      </c>
      <c r="Z53" s="2">
        <v>219.28399999999999</v>
      </c>
      <c r="AA53" s="1">
        <v>38471</v>
      </c>
      <c r="AB53" s="2">
        <v>197.18340000000001</v>
      </c>
      <c r="AC53" s="1">
        <v>38107</v>
      </c>
      <c r="AD53" s="2">
        <v>193.6069</v>
      </c>
      <c r="AE53" s="1">
        <v>38471</v>
      </c>
      <c r="AF53" s="2">
        <v>137.5239</v>
      </c>
      <c r="AG53" s="1">
        <v>38471</v>
      </c>
      <c r="AH53" s="2">
        <v>298.26150000000001</v>
      </c>
      <c r="AI53" s="1">
        <v>38471</v>
      </c>
      <c r="AJ53" s="2">
        <v>154.2261</v>
      </c>
      <c r="AK53" s="1">
        <v>38107</v>
      </c>
      <c r="AL53" s="2">
        <v>2217.87</v>
      </c>
      <c r="AM53" s="1">
        <v>38107</v>
      </c>
      <c r="AN53" s="2">
        <v>605.92999999999995</v>
      </c>
      <c r="AO53" s="1">
        <v>38107</v>
      </c>
      <c r="AP53" s="2">
        <v>1117.8399999999999</v>
      </c>
      <c r="AQ53" s="1">
        <v>38107</v>
      </c>
      <c r="AR53" s="2">
        <v>542.96</v>
      </c>
      <c r="AS53" s="1">
        <v>38107</v>
      </c>
      <c r="AT53" s="2">
        <v>3676.62</v>
      </c>
      <c r="AU53" s="1">
        <v>38107</v>
      </c>
      <c r="AV53" s="2">
        <v>1665.18</v>
      </c>
      <c r="AW53" s="1">
        <v>39568</v>
      </c>
      <c r="AX53" s="2">
        <v>2361.12</v>
      </c>
      <c r="AY53" s="1">
        <v>39507</v>
      </c>
      <c r="AZ53" s="2">
        <v>148.75</v>
      </c>
      <c r="BA53" s="1">
        <v>43189</v>
      </c>
      <c r="BB53" s="2">
        <v>1355.97</v>
      </c>
      <c r="BC53" s="1">
        <v>38107</v>
      </c>
      <c r="BD53" s="2">
        <v>0.86</v>
      </c>
      <c r="BE53" s="1">
        <v>38107</v>
      </c>
      <c r="BF53" s="2">
        <v>88.980999999999995</v>
      </c>
      <c r="BG53" s="1">
        <v>38107</v>
      </c>
      <c r="BH53" s="2">
        <v>354.13200000000001</v>
      </c>
      <c r="BI53" s="1">
        <v>38107</v>
      </c>
      <c r="BJ53" s="2">
        <v>166.65100000000001</v>
      </c>
      <c r="BK53" s="1">
        <v>38107</v>
      </c>
      <c r="BL53" s="2">
        <v>588.57809999999995</v>
      </c>
      <c r="BM53" s="1">
        <v>39629</v>
      </c>
      <c r="BN53" s="2">
        <v>1425.913</v>
      </c>
      <c r="BO53" s="1">
        <v>39721</v>
      </c>
      <c r="BP53" s="2">
        <v>143.97999999999999</v>
      </c>
    </row>
    <row r="54" spans="1:68" x14ac:dyDescent="0.25">
      <c r="A54" s="1">
        <v>38138</v>
      </c>
      <c r="B54" s="2">
        <v>1507.2080000000001</v>
      </c>
      <c r="C54" s="1">
        <v>38138</v>
      </c>
      <c r="D54" s="2">
        <v>171.57499999999999</v>
      </c>
      <c r="E54" s="1">
        <v>38138</v>
      </c>
      <c r="F54" s="2">
        <v>170.59</v>
      </c>
      <c r="G54" s="1">
        <v>38138</v>
      </c>
      <c r="H54" s="2">
        <v>166.93799999999999</v>
      </c>
      <c r="I54" s="1">
        <v>38168</v>
      </c>
      <c r="J54" s="2">
        <v>114.03789999999999</v>
      </c>
      <c r="K54" s="1">
        <v>38138</v>
      </c>
      <c r="L54" s="2">
        <v>119.5924</v>
      </c>
      <c r="M54" s="1">
        <v>38138</v>
      </c>
      <c r="N54" s="2">
        <v>113.9759</v>
      </c>
      <c r="O54" s="1">
        <v>38168</v>
      </c>
      <c r="P54" s="2">
        <v>106.791</v>
      </c>
      <c r="Q54" s="1">
        <v>38138</v>
      </c>
      <c r="R54" s="2">
        <v>132.0538</v>
      </c>
      <c r="S54" s="1">
        <v>38138</v>
      </c>
      <c r="T54" s="2">
        <v>287.39019999999999</v>
      </c>
      <c r="U54" s="1">
        <v>38138</v>
      </c>
      <c r="V54" s="2">
        <v>186.99039999999999</v>
      </c>
      <c r="W54" s="1">
        <v>38138</v>
      </c>
      <c r="X54" s="2">
        <v>1181.29</v>
      </c>
      <c r="Y54" s="1">
        <v>38138</v>
      </c>
      <c r="Z54" s="2">
        <v>211.24299999999999</v>
      </c>
      <c r="AA54" s="1">
        <v>38503</v>
      </c>
      <c r="AB54" s="2">
        <v>198.17320000000001</v>
      </c>
      <c r="AC54" s="1">
        <v>38138</v>
      </c>
      <c r="AD54" s="2">
        <v>199.8768</v>
      </c>
      <c r="AE54" s="1">
        <v>38503</v>
      </c>
      <c r="AF54" s="2">
        <v>142.06190000000001</v>
      </c>
      <c r="AG54" s="1">
        <v>38503</v>
      </c>
      <c r="AH54" s="2">
        <v>295.94650000000001</v>
      </c>
      <c r="AI54" s="1">
        <v>38503</v>
      </c>
      <c r="AJ54" s="2">
        <v>152.43029999999999</v>
      </c>
      <c r="AK54" s="1">
        <v>38138</v>
      </c>
      <c r="AL54" s="2">
        <v>2238.0700000000002</v>
      </c>
      <c r="AM54" s="1">
        <v>38138</v>
      </c>
      <c r="AN54" s="2">
        <v>610.49</v>
      </c>
      <c r="AO54" s="1">
        <v>38138</v>
      </c>
      <c r="AP54" s="2">
        <v>1129.46</v>
      </c>
      <c r="AQ54" s="1">
        <v>38138</v>
      </c>
      <c r="AR54" s="2">
        <v>548.59</v>
      </c>
      <c r="AS54" s="1">
        <v>38138</v>
      </c>
      <c r="AT54" s="2">
        <v>3705.43</v>
      </c>
      <c r="AU54" s="1">
        <v>38138</v>
      </c>
      <c r="AV54" s="2">
        <v>1682.54</v>
      </c>
      <c r="AW54" s="1">
        <v>39598</v>
      </c>
      <c r="AX54" s="2">
        <v>2341.0500000000002</v>
      </c>
      <c r="AY54" s="1">
        <v>39538</v>
      </c>
      <c r="AZ54" s="2">
        <v>143.41999999999999</v>
      </c>
      <c r="BA54" s="1">
        <v>43220</v>
      </c>
      <c r="BB54" s="2">
        <v>1369.03</v>
      </c>
      <c r="BC54" s="1">
        <v>38138</v>
      </c>
      <c r="BD54" s="2">
        <v>0.93</v>
      </c>
      <c r="BE54" s="1">
        <v>38138</v>
      </c>
      <c r="BF54" s="2">
        <v>85.616</v>
      </c>
      <c r="BG54" s="1">
        <v>38138</v>
      </c>
      <c r="BH54" s="2">
        <v>357.60300000000001</v>
      </c>
      <c r="BI54" s="1">
        <v>38138</v>
      </c>
      <c r="BJ54" s="2">
        <v>155.36099999999999</v>
      </c>
      <c r="BK54" s="1">
        <v>38138</v>
      </c>
      <c r="BL54" s="2">
        <v>593.18060000000003</v>
      </c>
      <c r="BM54" s="1">
        <v>39660</v>
      </c>
      <c r="BN54" s="2">
        <v>1400.923</v>
      </c>
      <c r="BO54" s="1">
        <v>39752</v>
      </c>
      <c r="BP54" s="2">
        <v>103.79</v>
      </c>
    </row>
    <row r="55" spans="1:68" x14ac:dyDescent="0.25">
      <c r="A55" s="1">
        <v>38168</v>
      </c>
      <c r="B55" s="2">
        <v>1437.933</v>
      </c>
      <c r="C55" s="1">
        <v>38168</v>
      </c>
      <c r="D55" s="2">
        <v>172.90049999999999</v>
      </c>
      <c r="E55" s="1">
        <v>38168</v>
      </c>
      <c r="F55" s="2">
        <v>169.12</v>
      </c>
      <c r="G55" s="1">
        <v>38168</v>
      </c>
      <c r="H55" s="2">
        <v>169.8116</v>
      </c>
      <c r="I55" s="1">
        <v>38198</v>
      </c>
      <c r="J55" s="2">
        <v>114.24679999999999</v>
      </c>
      <c r="K55" s="1">
        <v>38168</v>
      </c>
      <c r="L55" s="2">
        <v>120.11409999999999</v>
      </c>
      <c r="M55" s="1">
        <v>38168</v>
      </c>
      <c r="N55" s="2">
        <v>113.6086</v>
      </c>
      <c r="O55" s="1">
        <v>38198</v>
      </c>
      <c r="P55" s="2">
        <v>108.07680000000001</v>
      </c>
      <c r="Q55" s="1">
        <v>38168</v>
      </c>
      <c r="R55" s="2">
        <v>132.0164</v>
      </c>
      <c r="S55" s="1">
        <v>38168</v>
      </c>
      <c r="T55" s="2">
        <v>287.90190000000001</v>
      </c>
      <c r="U55" s="1">
        <v>38168</v>
      </c>
      <c r="V55" s="2">
        <v>186.8931</v>
      </c>
      <c r="W55" s="1">
        <v>38168</v>
      </c>
      <c r="X55" s="2">
        <v>1191.74</v>
      </c>
      <c r="Y55" s="1">
        <v>38168</v>
      </c>
      <c r="Z55" s="2">
        <v>190.46199999999999</v>
      </c>
      <c r="AA55" s="1">
        <v>38533</v>
      </c>
      <c r="AB55" s="2">
        <v>204.4649</v>
      </c>
      <c r="AC55" s="1">
        <v>38168</v>
      </c>
      <c r="AD55" s="2">
        <v>193.53550000000001</v>
      </c>
      <c r="AE55" s="1">
        <v>38533</v>
      </c>
      <c r="AF55" s="2">
        <v>139.48670000000001</v>
      </c>
      <c r="AG55" s="1">
        <v>38533</v>
      </c>
      <c r="AH55" s="2">
        <v>327.17189999999999</v>
      </c>
      <c r="AI55" s="1">
        <v>38533</v>
      </c>
      <c r="AJ55" s="2">
        <v>155.1935</v>
      </c>
      <c r="AK55" s="1">
        <v>38168</v>
      </c>
      <c r="AL55" s="2">
        <v>2284.02</v>
      </c>
      <c r="AM55" s="1">
        <v>38168</v>
      </c>
      <c r="AN55" s="2">
        <v>619.13</v>
      </c>
      <c r="AO55" s="1">
        <v>38168</v>
      </c>
      <c r="AP55" s="2">
        <v>1151.27</v>
      </c>
      <c r="AQ55" s="1">
        <v>38168</v>
      </c>
      <c r="AR55" s="2">
        <v>565.78</v>
      </c>
      <c r="AS55" s="1">
        <v>38168</v>
      </c>
      <c r="AT55" s="2">
        <v>3808.98</v>
      </c>
      <c r="AU55" s="1">
        <v>38168</v>
      </c>
      <c r="AV55" s="2">
        <v>1704.46</v>
      </c>
      <c r="AW55" s="1">
        <v>39629</v>
      </c>
      <c r="AX55" s="2">
        <v>2358.4499999999998</v>
      </c>
      <c r="AY55" s="1">
        <v>39568</v>
      </c>
      <c r="AZ55" s="2">
        <v>147.30000000000001</v>
      </c>
      <c r="BA55" s="1">
        <v>43251</v>
      </c>
      <c r="BB55" s="2">
        <v>1392.17</v>
      </c>
      <c r="BC55" s="1">
        <v>38168</v>
      </c>
      <c r="BD55" s="2">
        <v>0.93</v>
      </c>
      <c r="BE55" s="1">
        <v>38168</v>
      </c>
      <c r="BF55" s="2">
        <v>81.754999999999995</v>
      </c>
      <c r="BG55" s="1">
        <v>38168</v>
      </c>
      <c r="BH55" s="2">
        <v>331.14499999999998</v>
      </c>
      <c r="BI55" s="1">
        <v>38168</v>
      </c>
      <c r="BJ55" s="2">
        <v>152.34299999999999</v>
      </c>
      <c r="BK55" s="1">
        <v>38168</v>
      </c>
      <c r="BL55" s="2">
        <v>594.46630000000005</v>
      </c>
      <c r="BM55" s="1">
        <v>39689</v>
      </c>
      <c r="BN55" s="2">
        <v>1386.8530000000001</v>
      </c>
      <c r="BO55" s="1">
        <v>39780</v>
      </c>
      <c r="BP55" s="2">
        <v>89.99</v>
      </c>
    </row>
    <row r="56" spans="1:68" x14ac:dyDescent="0.25">
      <c r="A56" s="1">
        <v>38198</v>
      </c>
      <c r="B56" s="2">
        <v>1410.8879999999999</v>
      </c>
      <c r="C56" s="1">
        <v>38198</v>
      </c>
      <c r="D56" s="2">
        <v>177.2963</v>
      </c>
      <c r="E56" s="1">
        <v>38198</v>
      </c>
      <c r="F56" s="2">
        <v>173.136</v>
      </c>
      <c r="G56" s="1">
        <v>38198</v>
      </c>
      <c r="H56" s="2">
        <v>172.54259999999999</v>
      </c>
      <c r="I56" s="1">
        <v>38230</v>
      </c>
      <c r="J56" s="2">
        <v>114.0026</v>
      </c>
      <c r="K56" s="1">
        <v>38198</v>
      </c>
      <c r="L56" s="2">
        <v>118.91030000000001</v>
      </c>
      <c r="M56" s="1">
        <v>38198</v>
      </c>
      <c r="N56" s="2">
        <v>113.1397</v>
      </c>
      <c r="O56" s="1">
        <v>38230</v>
      </c>
      <c r="P56" s="2">
        <v>107.238</v>
      </c>
      <c r="Q56" s="1">
        <v>38198</v>
      </c>
      <c r="R56" s="2">
        <v>131.41630000000001</v>
      </c>
      <c r="S56" s="1">
        <v>38198</v>
      </c>
      <c r="T56" s="2">
        <v>289.88339999999999</v>
      </c>
      <c r="U56" s="1">
        <v>38198</v>
      </c>
      <c r="V56" s="2">
        <v>187.7809</v>
      </c>
      <c r="W56" s="1">
        <v>38198</v>
      </c>
      <c r="X56" s="2">
        <v>1202.42</v>
      </c>
      <c r="Y56" s="1">
        <v>38198</v>
      </c>
      <c r="Z56" s="2">
        <v>179.482</v>
      </c>
      <c r="AA56" s="1">
        <v>38562</v>
      </c>
      <c r="AB56" s="2">
        <v>213.2124</v>
      </c>
      <c r="AC56" s="1">
        <v>38198</v>
      </c>
      <c r="AD56" s="2">
        <v>197.25729999999999</v>
      </c>
      <c r="AE56" s="1">
        <v>38562</v>
      </c>
      <c r="AF56" s="2">
        <v>142.65719999999999</v>
      </c>
      <c r="AG56" s="1">
        <v>38562</v>
      </c>
      <c r="AH56" s="2">
        <v>348.41140000000001</v>
      </c>
      <c r="AI56" s="1">
        <v>38562</v>
      </c>
      <c r="AJ56" s="2">
        <v>154.9332</v>
      </c>
      <c r="AK56" s="1">
        <v>38198</v>
      </c>
      <c r="AL56" s="2">
        <v>2209.4499999999998</v>
      </c>
      <c r="AM56" s="1">
        <v>38198</v>
      </c>
      <c r="AN56" s="2">
        <v>602.82000000000005</v>
      </c>
      <c r="AO56" s="1">
        <v>38198</v>
      </c>
      <c r="AP56" s="2">
        <v>1128.78</v>
      </c>
      <c r="AQ56" s="1">
        <v>38198</v>
      </c>
      <c r="AR56" s="2">
        <v>542.23</v>
      </c>
      <c r="AS56" s="1">
        <v>38198</v>
      </c>
      <c r="AT56" s="2">
        <v>3741.39</v>
      </c>
      <c r="AU56" s="1">
        <v>38198</v>
      </c>
      <c r="AV56" s="2">
        <v>1622.73</v>
      </c>
      <c r="AW56" s="1">
        <v>39660</v>
      </c>
      <c r="AX56" s="2">
        <v>2322.09</v>
      </c>
      <c r="AY56" s="1">
        <v>39598</v>
      </c>
      <c r="AZ56" s="2">
        <v>147.58000000000001</v>
      </c>
      <c r="BA56" s="1">
        <v>43280</v>
      </c>
      <c r="BB56" s="2">
        <v>1388.95</v>
      </c>
      <c r="BC56" s="1">
        <v>38198</v>
      </c>
      <c r="BD56" s="2">
        <v>0.9</v>
      </c>
      <c r="BE56" s="1">
        <v>38198</v>
      </c>
      <c r="BF56" s="2">
        <v>78.221999999999994</v>
      </c>
      <c r="BG56" s="1">
        <v>38198</v>
      </c>
      <c r="BH56" s="2">
        <v>303.94499999999999</v>
      </c>
      <c r="BI56" s="1">
        <v>38198</v>
      </c>
      <c r="BJ56" s="2">
        <v>150.83799999999999</v>
      </c>
      <c r="BK56" s="1">
        <v>38198</v>
      </c>
      <c r="BL56" s="2">
        <v>591.43370000000004</v>
      </c>
      <c r="BM56" s="1">
        <v>39721</v>
      </c>
      <c r="BN56" s="2">
        <v>1248.1389999999999</v>
      </c>
      <c r="BO56" s="1">
        <v>39813</v>
      </c>
      <c r="BP56" s="2">
        <v>100.44</v>
      </c>
    </row>
    <row r="57" spans="1:68" x14ac:dyDescent="0.25">
      <c r="A57" s="1">
        <v>38230</v>
      </c>
      <c r="B57" s="2">
        <v>1407.778</v>
      </c>
      <c r="C57" s="1">
        <v>38230</v>
      </c>
      <c r="D57" s="2">
        <v>177.072</v>
      </c>
      <c r="E57" s="1">
        <v>38230</v>
      </c>
      <c r="F57" s="2">
        <v>173.69900000000001</v>
      </c>
      <c r="G57" s="1">
        <v>38230</v>
      </c>
      <c r="H57" s="2">
        <v>172.49289999999999</v>
      </c>
      <c r="I57" s="1">
        <v>38260</v>
      </c>
      <c r="J57" s="2">
        <v>114.8616</v>
      </c>
      <c r="K57" s="1">
        <v>38230</v>
      </c>
      <c r="L57" s="2">
        <v>118.4816</v>
      </c>
      <c r="M57" s="1">
        <v>38230</v>
      </c>
      <c r="N57" s="2">
        <v>115.06829999999999</v>
      </c>
      <c r="O57" s="1">
        <v>38260</v>
      </c>
      <c r="P57" s="2">
        <v>108.479</v>
      </c>
      <c r="Q57" s="1">
        <v>38230</v>
      </c>
      <c r="R57" s="2">
        <v>131.0129</v>
      </c>
      <c r="S57" s="1">
        <v>38230</v>
      </c>
      <c r="T57" s="2">
        <v>294.51429999999999</v>
      </c>
      <c r="U57" s="1">
        <v>38230</v>
      </c>
      <c r="V57" s="2">
        <v>191.9144</v>
      </c>
      <c r="W57" s="1">
        <v>38230</v>
      </c>
      <c r="X57" s="2">
        <v>1220.96</v>
      </c>
      <c r="Y57" s="1">
        <v>38230</v>
      </c>
      <c r="Z57" s="2">
        <v>171.761</v>
      </c>
      <c r="AA57" s="1">
        <v>38595</v>
      </c>
      <c r="AB57" s="2">
        <v>224.2867</v>
      </c>
      <c r="AC57" s="1">
        <v>38230</v>
      </c>
      <c r="AD57" s="2">
        <v>197.9188</v>
      </c>
      <c r="AE57" s="1">
        <v>38595</v>
      </c>
      <c r="AF57" s="2">
        <v>134.68289999999999</v>
      </c>
      <c r="AG57" s="1">
        <v>38595</v>
      </c>
      <c r="AH57" s="2">
        <v>406.6474</v>
      </c>
      <c r="AI57" s="1">
        <v>38595</v>
      </c>
      <c r="AJ57" s="2">
        <v>153.3117</v>
      </c>
      <c r="AK57" s="1">
        <v>38230</v>
      </c>
      <c r="AL57" s="2">
        <v>2219.16</v>
      </c>
      <c r="AM57" s="1">
        <v>38230</v>
      </c>
      <c r="AN57" s="2">
        <v>606.79999999999995</v>
      </c>
      <c r="AO57" s="1">
        <v>38230</v>
      </c>
      <c r="AP57" s="2">
        <v>1150.0999999999999</v>
      </c>
      <c r="AQ57" s="1">
        <v>38230</v>
      </c>
      <c r="AR57" s="2">
        <v>549.17999999999995</v>
      </c>
      <c r="AS57" s="1">
        <v>38230</v>
      </c>
      <c r="AT57" s="2">
        <v>3784.39</v>
      </c>
      <c r="AU57" s="1">
        <v>38230</v>
      </c>
      <c r="AV57" s="2">
        <v>1617.64</v>
      </c>
      <c r="AW57" s="1">
        <v>39689</v>
      </c>
      <c r="AX57" s="2">
        <v>2303.66</v>
      </c>
      <c r="AY57" s="1">
        <v>39629</v>
      </c>
      <c r="AZ57" s="2">
        <v>125.49</v>
      </c>
      <c r="BA57" s="1">
        <v>43312</v>
      </c>
      <c r="BB57" s="2">
        <v>1395.13</v>
      </c>
      <c r="BC57" s="1">
        <v>38230</v>
      </c>
      <c r="BD57" s="2">
        <v>0.88</v>
      </c>
      <c r="BE57" s="1">
        <v>38230</v>
      </c>
      <c r="BF57" s="2">
        <v>80.796000000000006</v>
      </c>
      <c r="BG57" s="1">
        <v>38230</v>
      </c>
      <c r="BH57" s="2">
        <v>251.90899999999999</v>
      </c>
      <c r="BI57" s="1">
        <v>38230</v>
      </c>
      <c r="BJ57" s="2">
        <v>162.01499999999999</v>
      </c>
      <c r="BK57" s="1">
        <v>38230</v>
      </c>
      <c r="BL57" s="2">
        <v>605.42809999999997</v>
      </c>
      <c r="BM57" s="1">
        <v>39752</v>
      </c>
      <c r="BN57" s="2">
        <v>1016.682</v>
      </c>
      <c r="BO57" s="1">
        <v>39843</v>
      </c>
      <c r="BP57" s="2">
        <v>97.94</v>
      </c>
    </row>
    <row r="58" spans="1:68" x14ac:dyDescent="0.25">
      <c r="A58" s="1">
        <v>38260</v>
      </c>
      <c r="B58" s="2">
        <v>1438.1189999999999</v>
      </c>
      <c r="C58" s="1">
        <v>38260</v>
      </c>
      <c r="D58" s="2">
        <v>180.822</v>
      </c>
      <c r="E58" s="1">
        <v>38260</v>
      </c>
      <c r="F58" s="2">
        <v>176.81800000000001</v>
      </c>
      <c r="G58" s="1">
        <v>38260</v>
      </c>
      <c r="H58" s="2">
        <v>177.2422</v>
      </c>
      <c r="I58" s="1">
        <v>38289</v>
      </c>
      <c r="J58" s="2">
        <v>114.9586</v>
      </c>
      <c r="K58" s="1">
        <v>38260</v>
      </c>
      <c r="L58" s="2">
        <v>118.4289</v>
      </c>
      <c r="M58" s="1">
        <v>38260</v>
      </c>
      <c r="N58" s="2">
        <v>115.2603</v>
      </c>
      <c r="O58" s="1">
        <v>38289</v>
      </c>
      <c r="P58" s="2">
        <v>107.7139</v>
      </c>
      <c r="Q58" s="1">
        <v>38260</v>
      </c>
      <c r="R58" s="2">
        <v>132.33709999999999</v>
      </c>
      <c r="S58" s="1">
        <v>38260</v>
      </c>
      <c r="T58" s="2">
        <v>295.76609999999999</v>
      </c>
      <c r="U58" s="1">
        <v>38260</v>
      </c>
      <c r="V58" s="2">
        <v>194.48990000000001</v>
      </c>
      <c r="W58" s="1">
        <v>38260</v>
      </c>
      <c r="X58" s="2">
        <v>1222.82</v>
      </c>
      <c r="Y58" s="1">
        <v>38260</v>
      </c>
      <c r="Z58" s="2">
        <v>150.72200000000001</v>
      </c>
      <c r="AA58" s="1">
        <v>38625</v>
      </c>
      <c r="AB58" s="2">
        <v>229.33959999999999</v>
      </c>
      <c r="AC58" s="1">
        <v>38260</v>
      </c>
      <c r="AD58" s="2">
        <v>207.65260000000001</v>
      </c>
      <c r="AE58" s="1">
        <v>38625</v>
      </c>
      <c r="AF58" s="2">
        <v>136.8818</v>
      </c>
      <c r="AG58" s="1">
        <v>38625</v>
      </c>
      <c r="AH58" s="2">
        <v>412.98910000000001</v>
      </c>
      <c r="AI58" s="1">
        <v>38625</v>
      </c>
      <c r="AJ58" s="2">
        <v>166.43119999999999</v>
      </c>
      <c r="AK58" s="1">
        <v>38260</v>
      </c>
      <c r="AL58" s="2">
        <v>2261.14</v>
      </c>
      <c r="AM58" s="1">
        <v>38260</v>
      </c>
      <c r="AN58" s="2">
        <v>613.29</v>
      </c>
      <c r="AO58" s="1">
        <v>38260</v>
      </c>
      <c r="AP58" s="2">
        <v>1168.57</v>
      </c>
      <c r="AQ58" s="1">
        <v>38260</v>
      </c>
      <c r="AR58" s="2">
        <v>567</v>
      </c>
      <c r="AS58" s="1">
        <v>38260</v>
      </c>
      <c r="AT58" s="2">
        <v>3851.79</v>
      </c>
      <c r="AU58" s="1">
        <v>38260</v>
      </c>
      <c r="AV58" s="2">
        <v>1650.16</v>
      </c>
      <c r="AW58" s="1">
        <v>39721</v>
      </c>
      <c r="AX58" s="2">
        <v>2101.2800000000002</v>
      </c>
      <c r="AY58" s="1">
        <v>39660</v>
      </c>
      <c r="AZ58" s="2">
        <v>129.61000000000001</v>
      </c>
      <c r="BA58" s="1">
        <v>43343</v>
      </c>
      <c r="BB58" s="2">
        <v>1395.67</v>
      </c>
      <c r="BC58" s="1">
        <v>38260</v>
      </c>
      <c r="BD58" s="2">
        <v>0.85</v>
      </c>
      <c r="BE58" s="1">
        <v>38260</v>
      </c>
      <c r="BF58" s="2">
        <v>74.988</v>
      </c>
      <c r="BG58" s="1">
        <v>38260</v>
      </c>
      <c r="BH58" s="2">
        <v>241.74700000000001</v>
      </c>
      <c r="BI58" s="1">
        <v>38260</v>
      </c>
      <c r="BJ58" s="2">
        <v>152.39500000000001</v>
      </c>
      <c r="BK58" s="1">
        <v>38260</v>
      </c>
      <c r="BL58" s="2">
        <v>613.96019999999999</v>
      </c>
      <c r="BM58" s="1">
        <v>39780</v>
      </c>
      <c r="BN58" s="2">
        <v>958.74329999999998</v>
      </c>
      <c r="BO58" s="1">
        <v>39871</v>
      </c>
      <c r="BP58" s="2">
        <v>93.88</v>
      </c>
    </row>
    <row r="59" spans="1:68" x14ac:dyDescent="0.25">
      <c r="A59" s="1">
        <v>38289</v>
      </c>
      <c r="B59" s="2">
        <v>1511.673</v>
      </c>
      <c r="C59" s="1">
        <v>38289</v>
      </c>
      <c r="D59" s="2">
        <v>179.91</v>
      </c>
      <c r="E59" s="1">
        <v>38289</v>
      </c>
      <c r="F59" s="2">
        <v>172.791</v>
      </c>
      <c r="G59" s="1">
        <v>38289</v>
      </c>
      <c r="H59" s="2">
        <v>181.83170000000001</v>
      </c>
      <c r="I59" s="1">
        <v>38321</v>
      </c>
      <c r="J59" s="2">
        <v>116.5685</v>
      </c>
      <c r="K59" s="1">
        <v>38289</v>
      </c>
      <c r="L59" s="2">
        <v>117.36839999999999</v>
      </c>
      <c r="M59" s="1">
        <v>38289</v>
      </c>
      <c r="N59" s="2">
        <v>116.797</v>
      </c>
      <c r="O59" s="1">
        <v>38321</v>
      </c>
      <c r="P59" s="2">
        <v>108.4358</v>
      </c>
      <c r="Q59" s="1">
        <v>38289</v>
      </c>
      <c r="R59" s="2">
        <v>134.25489999999999</v>
      </c>
      <c r="S59" s="1">
        <v>38289</v>
      </c>
      <c r="T59" s="2">
        <v>297.94799999999998</v>
      </c>
      <c r="U59" s="1">
        <v>38289</v>
      </c>
      <c r="V59" s="2">
        <v>198.6808</v>
      </c>
      <c r="W59" s="1">
        <v>38289</v>
      </c>
      <c r="X59" s="2">
        <v>1232.67</v>
      </c>
      <c r="Y59" s="1">
        <v>38289</v>
      </c>
      <c r="Z59" s="2">
        <v>149.13200000000001</v>
      </c>
      <c r="AA59" s="1">
        <v>38656</v>
      </c>
      <c r="AB59" s="2">
        <v>219.36609999999999</v>
      </c>
      <c r="AC59" s="1">
        <v>38289</v>
      </c>
      <c r="AD59" s="2">
        <v>213.3246</v>
      </c>
      <c r="AE59" s="1">
        <v>38656</v>
      </c>
      <c r="AF59" s="2">
        <v>135.7841</v>
      </c>
      <c r="AG59" s="1">
        <v>38656</v>
      </c>
      <c r="AH59" s="2">
        <v>369.42689999999999</v>
      </c>
      <c r="AI59" s="1">
        <v>38656</v>
      </c>
      <c r="AJ59" s="2">
        <v>166.16810000000001</v>
      </c>
      <c r="AK59" s="1">
        <v>38289</v>
      </c>
      <c r="AL59" s="2">
        <v>2316.4699999999998</v>
      </c>
      <c r="AM59" s="1">
        <v>38289</v>
      </c>
      <c r="AN59" s="2">
        <v>621.37</v>
      </c>
      <c r="AO59" s="1">
        <v>38289</v>
      </c>
      <c r="AP59" s="2">
        <v>1198.1199999999999</v>
      </c>
      <c r="AQ59" s="1">
        <v>38289</v>
      </c>
      <c r="AR59" s="2">
        <v>577.28</v>
      </c>
      <c r="AS59" s="1">
        <v>38289</v>
      </c>
      <c r="AT59" s="2">
        <v>3946</v>
      </c>
      <c r="AU59" s="1">
        <v>38289</v>
      </c>
      <c r="AV59" s="2">
        <v>1690.57</v>
      </c>
      <c r="AW59" s="1">
        <v>39752</v>
      </c>
      <c r="AX59" s="2">
        <v>1725.63</v>
      </c>
      <c r="AY59" s="1">
        <v>39689</v>
      </c>
      <c r="AZ59" s="2">
        <v>125.04</v>
      </c>
      <c r="BA59" s="1">
        <v>43371</v>
      </c>
      <c r="BB59" s="2">
        <v>1421.25</v>
      </c>
      <c r="BC59" s="1">
        <v>38289</v>
      </c>
      <c r="BD59" s="2">
        <v>0.84</v>
      </c>
      <c r="BE59" s="1">
        <v>38289</v>
      </c>
      <c r="BF59" s="2">
        <v>74.010000000000005</v>
      </c>
      <c r="BG59" s="1">
        <v>38289</v>
      </c>
      <c r="BH59" s="2">
        <v>213.375</v>
      </c>
      <c r="BI59" s="1">
        <v>38289</v>
      </c>
      <c r="BJ59" s="2">
        <v>150.69900000000001</v>
      </c>
      <c r="BK59" s="1">
        <v>38289</v>
      </c>
      <c r="BL59" s="2">
        <v>632.09979999999996</v>
      </c>
      <c r="BM59" s="1">
        <v>39813</v>
      </c>
      <c r="BN59" s="2">
        <v>988.76819999999998</v>
      </c>
      <c r="BO59" s="1">
        <v>39903</v>
      </c>
      <c r="BP59" s="2">
        <v>93.76</v>
      </c>
    </row>
    <row r="60" spans="1:68" x14ac:dyDescent="0.25">
      <c r="A60" s="1">
        <v>38321</v>
      </c>
      <c r="B60" s="2">
        <v>1607.4649999999999</v>
      </c>
      <c r="C60" s="1">
        <v>38321</v>
      </c>
      <c r="D60" s="2">
        <v>181.9495</v>
      </c>
      <c r="E60" s="1">
        <v>38321</v>
      </c>
      <c r="F60" s="2">
        <v>173.565</v>
      </c>
      <c r="G60" s="1">
        <v>38321</v>
      </c>
      <c r="H60" s="2">
        <v>189.9221</v>
      </c>
      <c r="I60" s="1">
        <v>38352</v>
      </c>
      <c r="J60" s="2">
        <v>117.20189999999999</v>
      </c>
      <c r="K60" s="1">
        <v>38321</v>
      </c>
      <c r="L60" s="2">
        <v>117.83580000000001</v>
      </c>
      <c r="M60" s="1">
        <v>38321</v>
      </c>
      <c r="N60" s="2">
        <v>116.5954</v>
      </c>
      <c r="O60" s="1">
        <v>38352</v>
      </c>
      <c r="P60" s="2">
        <v>107.625</v>
      </c>
      <c r="Q60" s="1">
        <v>38321</v>
      </c>
      <c r="R60" s="2">
        <v>140.30549999999999</v>
      </c>
      <c r="S60" s="1">
        <v>38321</v>
      </c>
      <c r="T60" s="2">
        <v>298.56700000000001</v>
      </c>
      <c r="U60" s="1">
        <v>38321</v>
      </c>
      <c r="V60" s="2">
        <v>204.84690000000001</v>
      </c>
      <c r="W60" s="1">
        <v>38321</v>
      </c>
      <c r="X60" s="2">
        <v>1229.5999999999999</v>
      </c>
      <c r="Y60" s="1">
        <v>38321</v>
      </c>
      <c r="Z60" s="2">
        <v>135.292</v>
      </c>
      <c r="AA60" s="1">
        <v>38686</v>
      </c>
      <c r="AB60" s="2">
        <v>220.78440000000001</v>
      </c>
      <c r="AC60" s="1">
        <v>38321</v>
      </c>
      <c r="AD60" s="2">
        <v>212.69820000000001</v>
      </c>
      <c r="AE60" s="1">
        <v>38686</v>
      </c>
      <c r="AF60" s="2">
        <v>134.96559999999999</v>
      </c>
      <c r="AG60" s="1">
        <v>38686</v>
      </c>
      <c r="AH60" s="2">
        <v>356.70920000000001</v>
      </c>
      <c r="AI60" s="1">
        <v>38686</v>
      </c>
      <c r="AJ60" s="2">
        <v>178.28890000000001</v>
      </c>
      <c r="AK60" s="1">
        <v>38321</v>
      </c>
      <c r="AL60" s="2">
        <v>2438.16</v>
      </c>
      <c r="AM60" s="1">
        <v>38321</v>
      </c>
      <c r="AN60" s="2">
        <v>646.42999999999995</v>
      </c>
      <c r="AO60" s="1">
        <v>38321</v>
      </c>
      <c r="AP60" s="2">
        <v>1262.9100000000001</v>
      </c>
      <c r="AQ60" s="1">
        <v>38321</v>
      </c>
      <c r="AR60" s="2">
        <v>619.64</v>
      </c>
      <c r="AS60" s="1">
        <v>38321</v>
      </c>
      <c r="AT60" s="2">
        <v>4160.68</v>
      </c>
      <c r="AU60" s="1">
        <v>38321</v>
      </c>
      <c r="AV60" s="2">
        <v>1775.96</v>
      </c>
      <c r="AW60" s="1">
        <v>39780</v>
      </c>
      <c r="AX60" s="2">
        <v>1804.93</v>
      </c>
      <c r="AY60" s="1">
        <v>39721</v>
      </c>
      <c r="AZ60" s="2">
        <v>112.66</v>
      </c>
      <c r="BA60" s="1">
        <v>43404</v>
      </c>
      <c r="BB60" s="2">
        <v>1382.37</v>
      </c>
      <c r="BC60" s="1">
        <v>38321</v>
      </c>
      <c r="BD60" s="2">
        <v>0.78</v>
      </c>
      <c r="BE60" s="1">
        <v>38321</v>
      </c>
      <c r="BF60" s="2">
        <v>65.885000000000005</v>
      </c>
      <c r="BG60" s="1">
        <v>38321</v>
      </c>
      <c r="BH60" s="2">
        <v>212.90299999999999</v>
      </c>
      <c r="BI60" s="1">
        <v>38321</v>
      </c>
      <c r="BJ60" s="2">
        <v>130.96700000000001</v>
      </c>
      <c r="BK60" s="1">
        <v>38321</v>
      </c>
      <c r="BL60" s="2">
        <v>654.90470000000005</v>
      </c>
      <c r="BM60" s="1">
        <v>39843</v>
      </c>
      <c r="BN60" s="2">
        <v>920.20920000000001</v>
      </c>
      <c r="BO60" s="1">
        <v>39933</v>
      </c>
      <c r="BP60" s="2">
        <v>102.43</v>
      </c>
    </row>
    <row r="61" spans="1:68" x14ac:dyDescent="0.25">
      <c r="A61" s="1">
        <v>38352</v>
      </c>
      <c r="B61" s="2">
        <v>1617.434</v>
      </c>
      <c r="C61" s="1">
        <v>38352</v>
      </c>
      <c r="D61" s="2">
        <v>184.21190000000001</v>
      </c>
      <c r="E61" s="1">
        <v>38352</v>
      </c>
      <c r="F61" s="2">
        <v>174.79900000000001</v>
      </c>
      <c r="G61" s="1">
        <v>38352</v>
      </c>
      <c r="H61" s="2">
        <v>195.9598</v>
      </c>
      <c r="I61" s="1">
        <v>38383</v>
      </c>
      <c r="J61" s="2">
        <v>116.9734</v>
      </c>
      <c r="K61" s="1">
        <v>38352</v>
      </c>
      <c r="L61" s="2">
        <v>119.5855</v>
      </c>
      <c r="M61" s="1">
        <v>38352</v>
      </c>
      <c r="N61" s="2">
        <v>117.21469999999999</v>
      </c>
      <c r="O61" s="1">
        <v>38383</v>
      </c>
      <c r="P61" s="2">
        <v>107.93729999999999</v>
      </c>
      <c r="Q61" s="1">
        <v>38352</v>
      </c>
      <c r="R61" s="2">
        <v>143.2158</v>
      </c>
      <c r="S61" s="1">
        <v>38352</v>
      </c>
      <c r="T61" s="2">
        <v>300.67340000000002</v>
      </c>
      <c r="U61" s="1">
        <v>38352</v>
      </c>
      <c r="V61" s="2">
        <v>209.42420000000001</v>
      </c>
      <c r="W61" s="1">
        <v>38352</v>
      </c>
      <c r="X61" s="2">
        <v>1238.26</v>
      </c>
      <c r="Y61" s="1">
        <v>38352</v>
      </c>
      <c r="Z61" s="2">
        <v>117.464</v>
      </c>
      <c r="AA61" s="1">
        <v>38716</v>
      </c>
      <c r="AB61" s="2">
        <v>233.6387</v>
      </c>
      <c r="AC61" s="1">
        <v>38352</v>
      </c>
      <c r="AD61" s="2">
        <v>204.56710000000001</v>
      </c>
      <c r="AE61" s="1">
        <v>38716</v>
      </c>
      <c r="AF61" s="2">
        <v>144.31139999999999</v>
      </c>
      <c r="AG61" s="1">
        <v>38716</v>
      </c>
      <c r="AH61" s="2">
        <v>373.09550000000002</v>
      </c>
      <c r="AI61" s="1">
        <v>38716</v>
      </c>
      <c r="AJ61" s="2">
        <v>187.19220000000001</v>
      </c>
      <c r="AK61" s="1">
        <v>38352</v>
      </c>
      <c r="AL61" s="2">
        <v>2531.23</v>
      </c>
      <c r="AM61" s="1">
        <v>38352</v>
      </c>
      <c r="AN61" s="2">
        <v>672.4</v>
      </c>
      <c r="AO61" s="1">
        <v>38352</v>
      </c>
      <c r="AP61" s="2">
        <v>1311.05</v>
      </c>
      <c r="AQ61" s="1">
        <v>38352</v>
      </c>
      <c r="AR61" s="2">
        <v>634.04</v>
      </c>
      <c r="AS61" s="1">
        <v>38352</v>
      </c>
      <c r="AT61" s="2">
        <v>4321.58</v>
      </c>
      <c r="AU61" s="1">
        <v>38352</v>
      </c>
      <c r="AV61" s="2">
        <v>1842.85</v>
      </c>
      <c r="AW61" s="1">
        <v>39813</v>
      </c>
      <c r="AX61" s="2">
        <v>1892.3</v>
      </c>
      <c r="AY61" s="1">
        <v>39752</v>
      </c>
      <c r="AZ61" s="2">
        <v>78.069999999999993</v>
      </c>
      <c r="BA61" s="1">
        <v>43434</v>
      </c>
      <c r="BB61" s="2">
        <v>1380.24</v>
      </c>
      <c r="BC61" s="1">
        <v>38352</v>
      </c>
      <c r="BD61" s="2">
        <v>0.75</v>
      </c>
      <c r="BE61" s="1">
        <v>38352</v>
      </c>
      <c r="BF61" s="2">
        <v>60.906999999999996</v>
      </c>
      <c r="BG61" s="1">
        <v>38352</v>
      </c>
      <c r="BH61" s="2">
        <v>204.11699999999999</v>
      </c>
      <c r="BI61" s="1">
        <v>38352</v>
      </c>
      <c r="BJ61" s="2">
        <v>121.827</v>
      </c>
      <c r="BK61" s="1">
        <v>38352</v>
      </c>
      <c r="BL61" s="2">
        <v>666.14819999999997</v>
      </c>
      <c r="BM61" s="1">
        <v>39871</v>
      </c>
      <c r="BN61" s="2">
        <v>843.97879999999998</v>
      </c>
      <c r="BO61" s="1">
        <v>39962</v>
      </c>
      <c r="BP61" s="2">
        <v>110.99</v>
      </c>
    </row>
    <row r="62" spans="1:68" x14ac:dyDescent="0.25">
      <c r="A62" s="1">
        <v>38383</v>
      </c>
      <c r="B62" s="2">
        <v>1518.912</v>
      </c>
      <c r="C62" s="1">
        <v>38383</v>
      </c>
      <c r="D62" s="2">
        <v>188.8365</v>
      </c>
      <c r="E62" s="1">
        <v>38383</v>
      </c>
      <c r="F62" s="2">
        <v>178.768</v>
      </c>
      <c r="G62" s="1">
        <v>38383</v>
      </c>
      <c r="H62" s="2">
        <v>194.8159</v>
      </c>
      <c r="I62" s="1">
        <v>38411</v>
      </c>
      <c r="J62" s="2">
        <v>117.1568</v>
      </c>
      <c r="K62" s="1">
        <v>38383</v>
      </c>
      <c r="L62" s="2">
        <v>118.90349999999999</v>
      </c>
      <c r="M62" s="1">
        <v>38383</v>
      </c>
      <c r="N62" s="2">
        <v>118.5558</v>
      </c>
      <c r="O62" s="1">
        <v>38411</v>
      </c>
      <c r="P62" s="2">
        <v>107.0718</v>
      </c>
      <c r="Q62" s="1">
        <v>38383</v>
      </c>
      <c r="R62" s="2">
        <v>140.983</v>
      </c>
      <c r="S62" s="1">
        <v>38383</v>
      </c>
      <c r="T62" s="2">
        <v>302.94900000000001</v>
      </c>
      <c r="U62" s="1">
        <v>38383</v>
      </c>
      <c r="V62" s="2">
        <v>206.3871</v>
      </c>
      <c r="W62" s="1">
        <v>38383</v>
      </c>
      <c r="X62" s="2">
        <v>1244.8499999999999</v>
      </c>
      <c r="Y62" s="1">
        <v>38383</v>
      </c>
      <c r="Z62" s="2">
        <v>85.558000000000007</v>
      </c>
      <c r="AA62" s="1">
        <v>38748</v>
      </c>
      <c r="AB62" s="2">
        <v>249.76310000000001</v>
      </c>
      <c r="AC62" s="1">
        <v>38383</v>
      </c>
      <c r="AD62" s="2">
        <v>207.64490000000001</v>
      </c>
      <c r="AE62" s="1">
        <v>38748</v>
      </c>
      <c r="AF62" s="2">
        <v>146.57</v>
      </c>
      <c r="AG62" s="1">
        <v>38748</v>
      </c>
      <c r="AH62" s="2">
        <v>397.05250000000001</v>
      </c>
      <c r="AI62" s="1">
        <v>38748</v>
      </c>
      <c r="AJ62" s="2">
        <v>206.9453</v>
      </c>
      <c r="AK62" s="1">
        <v>38383</v>
      </c>
      <c r="AL62" s="2">
        <v>2474.2399999999998</v>
      </c>
      <c r="AM62" s="1">
        <v>38383</v>
      </c>
      <c r="AN62" s="2">
        <v>662.17</v>
      </c>
      <c r="AO62" s="1">
        <v>38383</v>
      </c>
      <c r="AP62" s="2">
        <v>1280.3</v>
      </c>
      <c r="AQ62" s="1">
        <v>38383</v>
      </c>
      <c r="AR62" s="2">
        <v>626.36</v>
      </c>
      <c r="AS62" s="1">
        <v>38383</v>
      </c>
      <c r="AT62" s="2">
        <v>4243.25</v>
      </c>
      <c r="AU62" s="1">
        <v>38383</v>
      </c>
      <c r="AV62" s="2">
        <v>1793.17</v>
      </c>
      <c r="AW62" s="1">
        <v>39843</v>
      </c>
      <c r="AX62" s="2">
        <v>1757.64</v>
      </c>
      <c r="AY62" s="1">
        <v>39780</v>
      </c>
      <c r="AZ62" s="2">
        <v>57.47</v>
      </c>
      <c r="BA62" s="1">
        <v>43465</v>
      </c>
      <c r="BB62" s="2">
        <v>1335.79</v>
      </c>
      <c r="BC62" s="1">
        <v>38383</v>
      </c>
      <c r="BD62" s="2">
        <v>0.75</v>
      </c>
      <c r="BE62" s="1">
        <v>38383</v>
      </c>
      <c r="BF62" s="2">
        <v>43.228000000000002</v>
      </c>
      <c r="BG62" s="1">
        <v>38383</v>
      </c>
      <c r="BH62" s="2">
        <v>166.108</v>
      </c>
      <c r="BI62" s="1">
        <v>38383</v>
      </c>
      <c r="BJ62" s="2">
        <v>88.843000000000004</v>
      </c>
      <c r="BK62" s="1">
        <v>38383</v>
      </c>
      <c r="BL62" s="2">
        <v>656.79570000000001</v>
      </c>
      <c r="BM62" s="1">
        <v>39903</v>
      </c>
      <c r="BN62" s="2">
        <v>903.66669999999999</v>
      </c>
      <c r="BO62" s="1">
        <v>39994</v>
      </c>
      <c r="BP62" s="2">
        <v>113.43</v>
      </c>
    </row>
    <row r="63" spans="1:68" x14ac:dyDescent="0.25">
      <c r="A63" s="1">
        <v>38411</v>
      </c>
      <c r="B63" s="2">
        <v>1531.925</v>
      </c>
      <c r="C63" s="1">
        <v>38411</v>
      </c>
      <c r="D63" s="2">
        <v>191.01159999999999</v>
      </c>
      <c r="E63" s="1">
        <v>38411</v>
      </c>
      <c r="F63" s="2">
        <v>181.03800000000001</v>
      </c>
      <c r="G63" s="1">
        <v>38411</v>
      </c>
      <c r="H63" s="2">
        <v>199.9169</v>
      </c>
      <c r="I63" s="1">
        <v>38442</v>
      </c>
      <c r="J63" s="2">
        <v>116.5136</v>
      </c>
      <c r="K63" s="1">
        <v>38411</v>
      </c>
      <c r="L63" s="2">
        <v>120.9573</v>
      </c>
      <c r="M63" s="1">
        <v>38411</v>
      </c>
      <c r="N63" s="2">
        <v>116.9879</v>
      </c>
      <c r="O63" s="1">
        <v>38442</v>
      </c>
      <c r="P63" s="2">
        <v>107.1465</v>
      </c>
      <c r="Q63" s="1">
        <v>38411</v>
      </c>
      <c r="R63" s="2">
        <v>143.4966</v>
      </c>
      <c r="S63" s="1">
        <v>38411</v>
      </c>
      <c r="T63" s="2">
        <v>301.68009999999998</v>
      </c>
      <c r="U63" s="1">
        <v>38411</v>
      </c>
      <c r="V63" s="2">
        <v>207.2944</v>
      </c>
      <c r="W63" s="1">
        <v>38411</v>
      </c>
      <c r="X63" s="2">
        <v>1239.08</v>
      </c>
      <c r="Y63" s="1">
        <v>38411</v>
      </c>
      <c r="Z63" s="2">
        <v>78</v>
      </c>
      <c r="AA63" s="1">
        <v>38776</v>
      </c>
      <c r="AB63" s="2">
        <v>239.41489999999999</v>
      </c>
      <c r="AC63" s="1">
        <v>38411</v>
      </c>
      <c r="AD63" s="2">
        <v>223.75559999999999</v>
      </c>
      <c r="AE63" s="1">
        <v>38776</v>
      </c>
      <c r="AF63" s="2">
        <v>146.96709999999999</v>
      </c>
      <c r="AG63" s="1">
        <v>38776</v>
      </c>
      <c r="AH63" s="2">
        <v>354.39389999999997</v>
      </c>
      <c r="AI63" s="1">
        <v>38776</v>
      </c>
      <c r="AJ63" s="2">
        <v>203.7088</v>
      </c>
      <c r="AK63" s="1">
        <v>38411</v>
      </c>
      <c r="AL63" s="2">
        <v>2552.62</v>
      </c>
      <c r="AM63" s="1">
        <v>38411</v>
      </c>
      <c r="AN63" s="2">
        <v>689.76</v>
      </c>
      <c r="AO63" s="1">
        <v>38411</v>
      </c>
      <c r="AP63" s="2">
        <v>1319.05</v>
      </c>
      <c r="AQ63" s="1">
        <v>38411</v>
      </c>
      <c r="AR63" s="2">
        <v>676.56</v>
      </c>
      <c r="AS63" s="1">
        <v>38411</v>
      </c>
      <c r="AT63" s="2">
        <v>4403.2700000000004</v>
      </c>
      <c r="AU63" s="1">
        <v>38411</v>
      </c>
      <c r="AV63" s="2">
        <v>1838.9</v>
      </c>
      <c r="AW63" s="1">
        <v>39871</v>
      </c>
      <c r="AX63" s="2">
        <v>1689.73</v>
      </c>
      <c r="AY63" s="1">
        <v>39813</v>
      </c>
      <c r="AZ63" s="2">
        <v>53.27</v>
      </c>
      <c r="BA63" s="1">
        <v>43496</v>
      </c>
      <c r="BB63" s="2">
        <v>1397.69</v>
      </c>
      <c r="BC63" s="1">
        <v>38411</v>
      </c>
      <c r="BD63" s="2">
        <v>0.71</v>
      </c>
      <c r="BE63" s="1">
        <v>38411</v>
      </c>
      <c r="BF63" s="2">
        <v>36.241999999999997</v>
      </c>
      <c r="BG63" s="1">
        <v>38411</v>
      </c>
      <c r="BH63" s="2">
        <v>163.023</v>
      </c>
      <c r="BI63" s="1">
        <v>38411</v>
      </c>
      <c r="BJ63" s="2">
        <v>70.519000000000005</v>
      </c>
      <c r="BK63" s="1">
        <v>38411</v>
      </c>
      <c r="BL63" s="2">
        <v>657.76049999999998</v>
      </c>
      <c r="BM63" s="1">
        <v>39933</v>
      </c>
      <c r="BN63" s="2">
        <v>984.43039999999996</v>
      </c>
      <c r="BO63" s="1">
        <v>40025</v>
      </c>
      <c r="BP63" s="2">
        <v>119.32</v>
      </c>
    </row>
    <row r="64" spans="1:68" x14ac:dyDescent="0.25">
      <c r="A64" s="1">
        <v>38442</v>
      </c>
      <c r="B64" s="2">
        <v>1538.355</v>
      </c>
      <c r="C64" s="1">
        <v>38442</v>
      </c>
      <c r="D64" s="2">
        <v>192.18090000000001</v>
      </c>
      <c r="E64" s="1">
        <v>38442</v>
      </c>
      <c r="F64" s="2">
        <v>182.84800000000001</v>
      </c>
      <c r="G64" s="1">
        <v>38442</v>
      </c>
      <c r="H64" s="2">
        <v>193.6337</v>
      </c>
      <c r="I64" s="1">
        <v>38471</v>
      </c>
      <c r="J64" s="2">
        <v>116.1617</v>
      </c>
      <c r="K64" s="1">
        <v>38442</v>
      </c>
      <c r="L64" s="2">
        <v>119.7148</v>
      </c>
      <c r="M64" s="1">
        <v>38442</v>
      </c>
      <c r="N64" s="2">
        <v>117.91419999999999</v>
      </c>
      <c r="O64" s="1">
        <v>38471</v>
      </c>
      <c r="P64" s="2">
        <v>106.08159999999999</v>
      </c>
      <c r="Q64" s="1">
        <v>38442</v>
      </c>
      <c r="R64" s="2">
        <v>140.22880000000001</v>
      </c>
      <c r="S64" s="1">
        <v>38442</v>
      </c>
      <c r="T64" s="2">
        <v>302.1499</v>
      </c>
      <c r="U64" s="1">
        <v>38442</v>
      </c>
      <c r="V64" s="2">
        <v>205.65039999999999</v>
      </c>
      <c r="W64" s="1">
        <v>38442</v>
      </c>
      <c r="X64" s="2">
        <v>1236.78</v>
      </c>
      <c r="Y64" s="1">
        <v>38442</v>
      </c>
      <c r="Z64" s="2">
        <v>71.578999999999994</v>
      </c>
      <c r="AA64" s="1">
        <v>38807</v>
      </c>
      <c r="AB64" s="2">
        <v>247.97790000000001</v>
      </c>
      <c r="AC64" s="1">
        <v>38442</v>
      </c>
      <c r="AD64" s="2">
        <v>234.80609999999999</v>
      </c>
      <c r="AE64" s="1">
        <v>38807</v>
      </c>
      <c r="AF64" s="2">
        <v>142.96350000000001</v>
      </c>
      <c r="AG64" s="1">
        <v>38807</v>
      </c>
      <c r="AH64" s="2">
        <v>377.6388</v>
      </c>
      <c r="AI64" s="1">
        <v>38807</v>
      </c>
      <c r="AJ64" s="2">
        <v>218.07910000000001</v>
      </c>
      <c r="AK64" s="1">
        <v>38442</v>
      </c>
      <c r="AL64" s="2">
        <v>2503.0700000000002</v>
      </c>
      <c r="AM64" s="1">
        <v>38442</v>
      </c>
      <c r="AN64" s="2">
        <v>678.71</v>
      </c>
      <c r="AO64" s="1">
        <v>38442</v>
      </c>
      <c r="AP64" s="2">
        <v>1304.44</v>
      </c>
      <c r="AQ64" s="1">
        <v>38442</v>
      </c>
      <c r="AR64" s="2">
        <v>661.7</v>
      </c>
      <c r="AS64" s="1">
        <v>38442</v>
      </c>
      <c r="AT64" s="2">
        <v>4317.47</v>
      </c>
      <c r="AU64" s="1">
        <v>38442</v>
      </c>
      <c r="AV64" s="2">
        <v>1803.35</v>
      </c>
      <c r="AW64" s="1">
        <v>39903</v>
      </c>
      <c r="AX64" s="2">
        <v>1800.65</v>
      </c>
      <c r="AY64" s="1">
        <v>39843</v>
      </c>
      <c r="AZ64" s="2">
        <v>43.67</v>
      </c>
      <c r="BA64" s="1">
        <v>43524</v>
      </c>
      <c r="BB64" s="2">
        <v>1419.54</v>
      </c>
      <c r="BC64" s="1">
        <v>38442</v>
      </c>
      <c r="BD64" s="2">
        <v>0.86</v>
      </c>
      <c r="BE64" s="1">
        <v>38442</v>
      </c>
      <c r="BF64" s="2">
        <v>31.550999999999998</v>
      </c>
      <c r="BG64" s="1">
        <v>38442</v>
      </c>
      <c r="BH64" s="2">
        <v>170.583</v>
      </c>
      <c r="BI64" s="1">
        <v>38442</v>
      </c>
      <c r="BJ64" s="2">
        <v>58.927</v>
      </c>
      <c r="BK64" s="1">
        <v>38442</v>
      </c>
      <c r="BL64" s="2">
        <v>648.96659999999997</v>
      </c>
      <c r="BM64" s="1">
        <v>39962</v>
      </c>
      <c r="BN64" s="2">
        <v>1069.3889999999999</v>
      </c>
      <c r="BO64" s="1">
        <v>40056</v>
      </c>
      <c r="BP64" s="2">
        <v>118.61</v>
      </c>
    </row>
    <row r="65" spans="1:68" x14ac:dyDescent="0.25">
      <c r="A65" s="1">
        <v>38471</v>
      </c>
      <c r="B65" s="2">
        <v>1479.5340000000001</v>
      </c>
      <c r="C65" s="1">
        <v>38471</v>
      </c>
      <c r="D65" s="2">
        <v>194.80840000000001</v>
      </c>
      <c r="E65" s="1">
        <v>38471</v>
      </c>
      <c r="F65" s="2">
        <v>184.36600000000001</v>
      </c>
      <c r="G65" s="1">
        <v>38471</v>
      </c>
      <c r="H65" s="2">
        <v>194.38200000000001</v>
      </c>
      <c r="I65" s="1">
        <v>38503</v>
      </c>
      <c r="J65" s="2">
        <v>116.6155</v>
      </c>
      <c r="K65" s="1">
        <v>38471</v>
      </c>
      <c r="L65" s="2">
        <v>117.90949999999999</v>
      </c>
      <c r="M65" s="1">
        <v>38471</v>
      </c>
      <c r="N65" s="2">
        <v>119.8712</v>
      </c>
      <c r="O65" s="1">
        <v>38503</v>
      </c>
      <c r="P65" s="2">
        <v>105.6673</v>
      </c>
      <c r="Q65" s="1">
        <v>38471</v>
      </c>
      <c r="R65" s="2">
        <v>141.13229999999999</v>
      </c>
      <c r="S65" s="1">
        <v>38471</v>
      </c>
      <c r="T65" s="2">
        <v>305.90089999999998</v>
      </c>
      <c r="U65" s="1">
        <v>38471</v>
      </c>
      <c r="V65" s="2">
        <v>209.29499999999999</v>
      </c>
      <c r="W65" s="1">
        <v>38471</v>
      </c>
      <c r="X65" s="2">
        <v>1250.47</v>
      </c>
      <c r="Y65" s="1">
        <v>38471</v>
      </c>
      <c r="Z65" s="2">
        <v>55.521000000000001</v>
      </c>
      <c r="AA65" s="1">
        <v>38835</v>
      </c>
      <c r="AB65" s="2">
        <v>270.61450000000002</v>
      </c>
      <c r="AC65" s="1">
        <v>38471</v>
      </c>
      <c r="AD65" s="2">
        <v>224.73079999999999</v>
      </c>
      <c r="AE65" s="1">
        <v>38835</v>
      </c>
      <c r="AF65" s="2">
        <v>145.46879999999999</v>
      </c>
      <c r="AG65" s="1">
        <v>38835</v>
      </c>
      <c r="AH65" s="2">
        <v>401.49160000000001</v>
      </c>
      <c r="AI65" s="1">
        <v>38835</v>
      </c>
      <c r="AJ65" s="2">
        <v>247.7816</v>
      </c>
      <c r="AK65" s="1">
        <v>38471</v>
      </c>
      <c r="AL65" s="2">
        <v>2448.5300000000002</v>
      </c>
      <c r="AM65" s="1">
        <v>38471</v>
      </c>
      <c r="AN65" s="2">
        <v>667.09</v>
      </c>
      <c r="AO65" s="1">
        <v>38471</v>
      </c>
      <c r="AP65" s="2">
        <v>1305.1600000000001</v>
      </c>
      <c r="AQ65" s="1">
        <v>38471</v>
      </c>
      <c r="AR65" s="2">
        <v>633.89</v>
      </c>
      <c r="AS65" s="1">
        <v>38471</v>
      </c>
      <c r="AT65" s="2">
        <v>4223.3500000000004</v>
      </c>
      <c r="AU65" s="1">
        <v>38471</v>
      </c>
      <c r="AV65" s="2">
        <v>1764.08</v>
      </c>
      <c r="AW65" s="1">
        <v>39933</v>
      </c>
      <c r="AX65" s="2">
        <v>1834.71</v>
      </c>
      <c r="AY65" s="1">
        <v>39871</v>
      </c>
      <c r="AZ65" s="2">
        <v>35.29</v>
      </c>
      <c r="BA65" s="1">
        <v>43553</v>
      </c>
      <c r="BB65" s="2">
        <v>1424.86</v>
      </c>
      <c r="BC65" s="1">
        <v>38471</v>
      </c>
      <c r="BD65" s="2">
        <v>0.96</v>
      </c>
      <c r="BE65" s="1">
        <v>38471</v>
      </c>
      <c r="BF65" s="2">
        <v>30.527000000000001</v>
      </c>
      <c r="BG65" s="1">
        <v>38471</v>
      </c>
      <c r="BH65" s="2">
        <v>133.56299999999999</v>
      </c>
      <c r="BI65" s="1">
        <v>38471</v>
      </c>
      <c r="BJ65" s="2">
        <v>61.715000000000003</v>
      </c>
      <c r="BK65" s="1">
        <v>38471</v>
      </c>
      <c r="BL65" s="2">
        <v>658.61800000000005</v>
      </c>
      <c r="BM65" s="1">
        <v>39994</v>
      </c>
      <c r="BN65" s="2">
        <v>1071.5309999999999</v>
      </c>
      <c r="BO65" s="1">
        <v>40086</v>
      </c>
      <c r="BP65" s="2">
        <v>124.61</v>
      </c>
    </row>
    <row r="66" spans="1:68" x14ac:dyDescent="0.25">
      <c r="A66" s="1">
        <v>38503</v>
      </c>
      <c r="B66" s="2">
        <v>1523.0509999999999</v>
      </c>
      <c r="C66" s="1">
        <v>38503</v>
      </c>
      <c r="D66" s="2">
        <v>198.3073</v>
      </c>
      <c r="E66" s="1">
        <v>38503</v>
      </c>
      <c r="F66" s="2">
        <v>184.626</v>
      </c>
      <c r="G66" s="1">
        <v>38503</v>
      </c>
      <c r="H66" s="2">
        <v>193.52080000000001</v>
      </c>
      <c r="I66" s="1">
        <v>38533</v>
      </c>
      <c r="J66" s="2">
        <v>117.1567</v>
      </c>
      <c r="K66" s="1">
        <v>38503</v>
      </c>
      <c r="L66" s="2">
        <v>119.4057</v>
      </c>
      <c r="M66" s="1">
        <v>38503</v>
      </c>
      <c r="N66" s="2">
        <v>122.35509999999999</v>
      </c>
      <c r="O66" s="1">
        <v>38533</v>
      </c>
      <c r="P66" s="2">
        <v>105.0945</v>
      </c>
      <c r="Q66" s="1">
        <v>38503</v>
      </c>
      <c r="R66" s="2">
        <v>140.9365</v>
      </c>
      <c r="S66" s="1">
        <v>38503</v>
      </c>
      <c r="T66" s="2">
        <v>308.88260000000002</v>
      </c>
      <c r="U66" s="1">
        <v>38503</v>
      </c>
      <c r="V66" s="2">
        <v>205.96369999999999</v>
      </c>
      <c r="W66" s="1">
        <v>38503</v>
      </c>
      <c r="X66" s="2">
        <v>1260.32</v>
      </c>
      <c r="Y66" s="1">
        <v>38503</v>
      </c>
      <c r="Z66" s="2">
        <v>40.832000000000001</v>
      </c>
      <c r="AA66" s="1">
        <v>38868</v>
      </c>
      <c r="AB66" s="2">
        <v>272.786</v>
      </c>
      <c r="AC66" s="1">
        <v>38503</v>
      </c>
      <c r="AD66" s="2">
        <v>222.90010000000001</v>
      </c>
      <c r="AE66" s="1">
        <v>38868</v>
      </c>
      <c r="AF66" s="2">
        <v>146.45920000000001</v>
      </c>
      <c r="AG66" s="1">
        <v>38868</v>
      </c>
      <c r="AH66" s="2">
        <v>394.16340000000002</v>
      </c>
      <c r="AI66" s="1">
        <v>38868</v>
      </c>
      <c r="AJ66" s="2">
        <v>239.99279999999999</v>
      </c>
      <c r="AK66" s="1">
        <v>38503</v>
      </c>
      <c r="AL66" s="2">
        <v>2492.0300000000002</v>
      </c>
      <c r="AM66" s="1">
        <v>38503</v>
      </c>
      <c r="AN66" s="2">
        <v>679.32</v>
      </c>
      <c r="AO66" s="1">
        <v>38503</v>
      </c>
      <c r="AP66" s="2">
        <v>1317.38</v>
      </c>
      <c r="AQ66" s="1">
        <v>38503</v>
      </c>
      <c r="AR66" s="2">
        <v>652.54999999999995</v>
      </c>
      <c r="AS66" s="1">
        <v>38503</v>
      </c>
      <c r="AT66" s="2">
        <v>4264.68</v>
      </c>
      <c r="AU66" s="1">
        <v>38503</v>
      </c>
      <c r="AV66" s="2">
        <v>1809.9</v>
      </c>
      <c r="AW66" s="1">
        <v>39962</v>
      </c>
      <c r="AX66" s="2">
        <v>1929.4</v>
      </c>
      <c r="AY66" s="1">
        <v>39903</v>
      </c>
      <c r="AZ66" s="2">
        <v>42.97</v>
      </c>
      <c r="BA66" s="1">
        <v>43585</v>
      </c>
      <c r="BB66" s="2">
        <v>1444.22</v>
      </c>
      <c r="BC66" s="1">
        <v>38503</v>
      </c>
      <c r="BD66" s="2">
        <v>0.81</v>
      </c>
      <c r="BE66" s="1">
        <v>38503</v>
      </c>
      <c r="BF66" s="2">
        <v>24.774000000000001</v>
      </c>
      <c r="BG66" s="1">
        <v>38503</v>
      </c>
      <c r="BH66" s="2">
        <v>104.648</v>
      </c>
      <c r="BI66" s="1">
        <v>38503</v>
      </c>
      <c r="BJ66" s="2">
        <v>58.695</v>
      </c>
      <c r="BK66" s="1">
        <v>38503</v>
      </c>
      <c r="BL66" s="2">
        <v>645.30830000000003</v>
      </c>
      <c r="BM66" s="1">
        <v>40025</v>
      </c>
      <c r="BN66" s="2">
        <v>1155.2529999999999</v>
      </c>
      <c r="BO66" s="1">
        <v>40116</v>
      </c>
      <c r="BP66" s="2">
        <v>127.13</v>
      </c>
    </row>
    <row r="67" spans="1:68" x14ac:dyDescent="0.25">
      <c r="A67" s="1">
        <v>38533</v>
      </c>
      <c r="B67" s="2">
        <v>1578.1320000000001</v>
      </c>
      <c r="C67" s="1">
        <v>38533</v>
      </c>
      <c r="D67" s="2">
        <v>203.48679999999999</v>
      </c>
      <c r="E67" s="1">
        <v>38533</v>
      </c>
      <c r="F67" s="2">
        <v>190.58</v>
      </c>
      <c r="G67" s="1">
        <v>38533</v>
      </c>
      <c r="H67" s="2">
        <v>196.10579999999999</v>
      </c>
      <c r="I67" s="1">
        <v>38562</v>
      </c>
      <c r="J67" s="2">
        <v>117.4243</v>
      </c>
      <c r="K67" s="1">
        <v>38533</v>
      </c>
      <c r="L67" s="2">
        <v>121.31270000000001</v>
      </c>
      <c r="M67" s="1">
        <v>38533</v>
      </c>
      <c r="N67" s="2">
        <v>124.3343</v>
      </c>
      <c r="O67" s="1">
        <v>38562</v>
      </c>
      <c r="P67" s="2">
        <v>105.00149999999999</v>
      </c>
      <c r="Q67" s="1">
        <v>38533</v>
      </c>
      <c r="R67" s="2">
        <v>141.67599999999999</v>
      </c>
      <c r="S67" s="1">
        <v>38533</v>
      </c>
      <c r="T67" s="2">
        <v>311.51350000000002</v>
      </c>
      <c r="U67" s="1">
        <v>38533</v>
      </c>
      <c r="V67" s="2">
        <v>205.97190000000001</v>
      </c>
      <c r="W67" s="1">
        <v>38533</v>
      </c>
      <c r="X67" s="2">
        <v>1264.8900000000001</v>
      </c>
      <c r="Y67" s="1">
        <v>38533</v>
      </c>
      <c r="Z67" s="2">
        <v>27.349</v>
      </c>
      <c r="AA67" s="1">
        <v>38898</v>
      </c>
      <c r="AB67" s="2">
        <v>271.89089999999999</v>
      </c>
      <c r="AC67" s="1">
        <v>38533</v>
      </c>
      <c r="AD67" s="2">
        <v>230.3605</v>
      </c>
      <c r="AE67" s="1">
        <v>38898</v>
      </c>
      <c r="AF67" s="2">
        <v>150.11779999999999</v>
      </c>
      <c r="AG67" s="1">
        <v>38898</v>
      </c>
      <c r="AH67" s="2">
        <v>406.66750000000002</v>
      </c>
      <c r="AI67" s="1">
        <v>38898</v>
      </c>
      <c r="AJ67" s="2">
        <v>223.7938</v>
      </c>
      <c r="AK67" s="1">
        <v>38533</v>
      </c>
      <c r="AL67" s="2">
        <v>2513.59</v>
      </c>
      <c r="AM67" s="1">
        <v>38533</v>
      </c>
      <c r="AN67" s="2">
        <v>681.02</v>
      </c>
      <c r="AO67" s="1">
        <v>38533</v>
      </c>
      <c r="AP67" s="2">
        <v>1335.1</v>
      </c>
      <c r="AQ67" s="1">
        <v>38533</v>
      </c>
      <c r="AR67" s="2">
        <v>680.45</v>
      </c>
      <c r="AS67" s="1">
        <v>38533</v>
      </c>
      <c r="AT67" s="2">
        <v>4318.84</v>
      </c>
      <c r="AU67" s="1">
        <v>38533</v>
      </c>
      <c r="AV67" s="2">
        <v>1818.32</v>
      </c>
      <c r="AW67" s="1">
        <v>39994</v>
      </c>
      <c r="AX67" s="2">
        <v>1936.43</v>
      </c>
      <c r="AY67" s="1">
        <v>39933</v>
      </c>
      <c r="AZ67" s="2">
        <v>55.81</v>
      </c>
      <c r="BA67" s="1">
        <v>43616</v>
      </c>
      <c r="BB67" s="2">
        <v>1410.71</v>
      </c>
      <c r="BC67" s="1">
        <v>38533</v>
      </c>
      <c r="BD67" s="2">
        <v>0.86</v>
      </c>
      <c r="BE67" s="1">
        <v>38533</v>
      </c>
      <c r="BF67" s="2">
        <v>21.527999999999999</v>
      </c>
      <c r="BG67" s="1">
        <v>38533</v>
      </c>
      <c r="BH67" s="2">
        <v>80.995000000000005</v>
      </c>
      <c r="BI67" s="1">
        <v>38533</v>
      </c>
      <c r="BJ67" s="2">
        <v>49.11</v>
      </c>
      <c r="BK67" s="1">
        <v>38533</v>
      </c>
      <c r="BL67" s="2">
        <v>639.69690000000003</v>
      </c>
      <c r="BM67" s="1">
        <v>40056</v>
      </c>
      <c r="BN67" s="2">
        <v>1181.7570000000001</v>
      </c>
      <c r="BO67" s="1">
        <v>40147</v>
      </c>
      <c r="BP67" s="2">
        <v>135.06</v>
      </c>
    </row>
    <row r="68" spans="1:68" x14ac:dyDescent="0.25">
      <c r="A68" s="1">
        <v>38562</v>
      </c>
      <c r="B68" s="2">
        <v>1582.6089999999999</v>
      </c>
      <c r="C68" s="1">
        <v>38562</v>
      </c>
      <c r="D68" s="2">
        <v>203.62389999999999</v>
      </c>
      <c r="E68" s="1">
        <v>38562</v>
      </c>
      <c r="F68" s="2">
        <v>189.28800000000001</v>
      </c>
      <c r="G68" s="1">
        <v>38562</v>
      </c>
      <c r="H68" s="2">
        <v>197.78880000000001</v>
      </c>
      <c r="I68" s="1">
        <v>38595</v>
      </c>
      <c r="J68" s="2">
        <v>117.9584</v>
      </c>
      <c r="K68" s="1">
        <v>38562</v>
      </c>
      <c r="L68" s="2">
        <v>124.9064</v>
      </c>
      <c r="M68" s="1">
        <v>38562</v>
      </c>
      <c r="N68" s="2">
        <v>122.0102</v>
      </c>
      <c r="O68" s="1">
        <v>38595</v>
      </c>
      <c r="P68" s="2">
        <v>106.8716</v>
      </c>
      <c r="Q68" s="1">
        <v>38562</v>
      </c>
      <c r="R68" s="2">
        <v>141.74250000000001</v>
      </c>
      <c r="S68" s="1">
        <v>38562</v>
      </c>
      <c r="T68" s="2">
        <v>309.80369999999999</v>
      </c>
      <c r="U68" s="1">
        <v>38562</v>
      </c>
      <c r="V68" s="2">
        <v>203.06899999999999</v>
      </c>
      <c r="W68" s="1">
        <v>38562</v>
      </c>
      <c r="X68" s="2">
        <v>1258.55</v>
      </c>
      <c r="Y68" s="1">
        <v>38562</v>
      </c>
      <c r="Z68" s="2">
        <v>26.143000000000001</v>
      </c>
      <c r="AA68" s="1">
        <v>38929</v>
      </c>
      <c r="AB68" s="2">
        <v>279.35300000000001</v>
      </c>
      <c r="AC68" s="1">
        <v>38562</v>
      </c>
      <c r="AD68" s="2">
        <v>239.76079999999999</v>
      </c>
      <c r="AE68" s="1">
        <v>38929</v>
      </c>
      <c r="AF68" s="2">
        <v>148.1943</v>
      </c>
      <c r="AG68" s="1">
        <v>38929</v>
      </c>
      <c r="AH68" s="2">
        <v>417.19189999999998</v>
      </c>
      <c r="AI68" s="1">
        <v>38929</v>
      </c>
      <c r="AJ68" s="2">
        <v>232.05350000000001</v>
      </c>
      <c r="AK68" s="1">
        <v>38562</v>
      </c>
      <c r="AL68" s="2">
        <v>2601.4</v>
      </c>
      <c r="AM68" s="1">
        <v>38562</v>
      </c>
      <c r="AN68" s="2">
        <v>699.66</v>
      </c>
      <c r="AO68" s="1">
        <v>38562</v>
      </c>
      <c r="AP68" s="2">
        <v>1367.03</v>
      </c>
      <c r="AQ68" s="1">
        <v>38562</v>
      </c>
      <c r="AR68" s="2">
        <v>710.15</v>
      </c>
      <c r="AS68" s="1">
        <v>38562</v>
      </c>
      <c r="AT68" s="2">
        <v>4441.67</v>
      </c>
      <c r="AU68" s="1">
        <v>38562</v>
      </c>
      <c r="AV68" s="2">
        <v>1893.65</v>
      </c>
      <c r="AW68" s="1">
        <v>40025</v>
      </c>
      <c r="AX68" s="2">
        <v>2011.62</v>
      </c>
      <c r="AY68" s="1">
        <v>39962</v>
      </c>
      <c r="AZ68" s="2">
        <v>65.08</v>
      </c>
      <c r="BA68" s="1">
        <v>43644</v>
      </c>
      <c r="BB68" s="2">
        <v>1436.69</v>
      </c>
      <c r="BC68" s="1">
        <v>38562</v>
      </c>
      <c r="BD68" s="2">
        <v>0.79</v>
      </c>
      <c r="BE68" s="1">
        <v>38562</v>
      </c>
      <c r="BF68" s="2">
        <v>15.617000000000001</v>
      </c>
      <c r="BG68" s="1">
        <v>38562</v>
      </c>
      <c r="BH68" s="2">
        <v>89.718999999999994</v>
      </c>
      <c r="BI68" s="1">
        <v>38562</v>
      </c>
      <c r="BJ68" s="2">
        <v>34.966999999999999</v>
      </c>
      <c r="BK68" s="1">
        <v>38562</v>
      </c>
      <c r="BL68" s="2">
        <v>633.44759999999997</v>
      </c>
      <c r="BM68" s="1">
        <v>40086</v>
      </c>
      <c r="BN68" s="2">
        <v>1235.366</v>
      </c>
      <c r="BO68" s="1">
        <v>40178</v>
      </c>
      <c r="BP68" s="2">
        <v>141.65</v>
      </c>
    </row>
    <row r="69" spans="1:68" x14ac:dyDescent="0.25">
      <c r="A69" s="1">
        <v>38595</v>
      </c>
      <c r="B69" s="2">
        <v>1608.8630000000001</v>
      </c>
      <c r="C69" s="1">
        <v>38595</v>
      </c>
      <c r="D69" s="2">
        <v>202.07249999999999</v>
      </c>
      <c r="E69" s="1">
        <v>38595</v>
      </c>
      <c r="F69" s="2">
        <v>187.989</v>
      </c>
      <c r="G69" s="1">
        <v>38595</v>
      </c>
      <c r="H69" s="2">
        <v>197.97649999999999</v>
      </c>
      <c r="I69" s="1">
        <v>38625</v>
      </c>
      <c r="J69" s="2">
        <v>118.4683</v>
      </c>
      <c r="K69" s="1">
        <v>38595</v>
      </c>
      <c r="L69" s="2">
        <v>124.10250000000001</v>
      </c>
      <c r="M69" s="1">
        <v>38595</v>
      </c>
      <c r="N69" s="2">
        <v>121.7454</v>
      </c>
      <c r="O69" s="1">
        <v>38625</v>
      </c>
      <c r="P69" s="2">
        <v>106.92570000000001</v>
      </c>
      <c r="Q69" s="1">
        <v>38595</v>
      </c>
      <c r="R69" s="2">
        <v>140.76249999999999</v>
      </c>
      <c r="S69" s="1">
        <v>38595</v>
      </c>
      <c r="T69" s="2">
        <v>312.89089999999999</v>
      </c>
      <c r="U69" s="1">
        <v>38595</v>
      </c>
      <c r="V69" s="2">
        <v>209.36879999999999</v>
      </c>
      <c r="W69" s="1">
        <v>38595</v>
      </c>
      <c r="X69" s="2">
        <v>1269.7</v>
      </c>
      <c r="Y69" s="1">
        <v>38595</v>
      </c>
      <c r="Z69" s="2">
        <v>19.617000000000001</v>
      </c>
      <c r="AA69" s="1">
        <v>38960</v>
      </c>
      <c r="AB69" s="2">
        <v>274.7491</v>
      </c>
      <c r="AC69" s="1">
        <v>38595</v>
      </c>
      <c r="AD69" s="2">
        <v>251.08459999999999</v>
      </c>
      <c r="AE69" s="1">
        <v>38960</v>
      </c>
      <c r="AF69" s="2">
        <v>144.75389999999999</v>
      </c>
      <c r="AG69" s="1">
        <v>38960</v>
      </c>
      <c r="AH69" s="2">
        <v>390.96129999999999</v>
      </c>
      <c r="AI69" s="1">
        <v>38960</v>
      </c>
      <c r="AJ69" s="2">
        <v>237.21</v>
      </c>
      <c r="AK69" s="1">
        <v>38595</v>
      </c>
      <c r="AL69" s="2">
        <v>2621</v>
      </c>
      <c r="AM69" s="1">
        <v>38595</v>
      </c>
      <c r="AN69" s="2">
        <v>699.58</v>
      </c>
      <c r="AO69" s="1">
        <v>38595</v>
      </c>
      <c r="AP69" s="2">
        <v>1371.66</v>
      </c>
      <c r="AQ69" s="1">
        <v>38595</v>
      </c>
      <c r="AR69" s="2">
        <v>732.54</v>
      </c>
      <c r="AS69" s="1">
        <v>38595</v>
      </c>
      <c r="AT69" s="2">
        <v>4468.95</v>
      </c>
      <c r="AU69" s="1">
        <v>38595</v>
      </c>
      <c r="AV69" s="2">
        <v>1910.54</v>
      </c>
      <c r="AW69" s="1">
        <v>40056</v>
      </c>
      <c r="AX69" s="2">
        <v>2059.58</v>
      </c>
      <c r="AY69" s="1">
        <v>39994</v>
      </c>
      <c r="AZ69" s="2">
        <v>65.040000000000006</v>
      </c>
      <c r="BA69" s="1">
        <v>43677</v>
      </c>
      <c r="BB69" s="2">
        <v>1434.19</v>
      </c>
      <c r="BC69" s="1">
        <v>38595</v>
      </c>
      <c r="BD69" s="2">
        <v>0.81</v>
      </c>
      <c r="BE69" s="1">
        <v>38595</v>
      </c>
      <c r="BF69" s="2">
        <v>15.773</v>
      </c>
      <c r="BG69" s="1">
        <v>38595</v>
      </c>
      <c r="BH69" s="2">
        <v>52.567</v>
      </c>
      <c r="BI69" s="1">
        <v>38595</v>
      </c>
      <c r="BJ69" s="2">
        <v>39.847999999999999</v>
      </c>
      <c r="BK69" s="1">
        <v>38595</v>
      </c>
      <c r="BL69" s="2">
        <v>644.846</v>
      </c>
      <c r="BM69" s="1">
        <v>40116</v>
      </c>
      <c r="BN69" s="2">
        <v>1224.3900000000001</v>
      </c>
      <c r="BO69" s="1">
        <v>40207</v>
      </c>
      <c r="BP69" s="2">
        <v>142.85</v>
      </c>
    </row>
    <row r="70" spans="1:68" x14ac:dyDescent="0.25">
      <c r="A70" s="1">
        <v>38625</v>
      </c>
      <c r="B70" s="2">
        <v>1608.82</v>
      </c>
      <c r="C70" s="1">
        <v>38625</v>
      </c>
      <c r="D70" s="2">
        <v>208.29060000000001</v>
      </c>
      <c r="E70" s="1">
        <v>38625</v>
      </c>
      <c r="F70" s="2">
        <v>193.31299999999999</v>
      </c>
      <c r="G70" s="1">
        <v>38625</v>
      </c>
      <c r="H70" s="2">
        <v>200.40029999999999</v>
      </c>
      <c r="I70" s="1">
        <v>38656</v>
      </c>
      <c r="J70" s="2">
        <v>117.8207</v>
      </c>
      <c r="K70" s="1">
        <v>38625</v>
      </c>
      <c r="L70" s="2">
        <v>126.8835</v>
      </c>
      <c r="M70" s="1">
        <v>38625</v>
      </c>
      <c r="N70" s="2">
        <v>120.27379999999999</v>
      </c>
      <c r="O70" s="1">
        <v>38656</v>
      </c>
      <c r="P70" s="2">
        <v>106.6623</v>
      </c>
      <c r="Q70" s="1">
        <v>38625</v>
      </c>
      <c r="R70" s="2">
        <v>141.9846</v>
      </c>
      <c r="S70" s="1">
        <v>38625</v>
      </c>
      <c r="T70" s="2">
        <v>311.40030000000002</v>
      </c>
      <c r="U70" s="1">
        <v>38625</v>
      </c>
      <c r="V70" s="2">
        <v>207.83750000000001</v>
      </c>
      <c r="W70" s="1">
        <v>38625</v>
      </c>
      <c r="X70" s="2">
        <v>1263.02</v>
      </c>
      <c r="Y70" s="1">
        <v>38625</v>
      </c>
      <c r="Z70" s="2">
        <v>15.224</v>
      </c>
      <c r="AA70" s="1">
        <v>38989</v>
      </c>
      <c r="AB70" s="2">
        <v>262.51350000000002</v>
      </c>
      <c r="AC70" s="1">
        <v>38625</v>
      </c>
      <c r="AD70" s="2">
        <v>259.13630000000001</v>
      </c>
      <c r="AE70" s="1">
        <v>38989</v>
      </c>
      <c r="AF70" s="2">
        <v>143.10550000000001</v>
      </c>
      <c r="AG70" s="1">
        <v>38989</v>
      </c>
      <c r="AH70" s="2">
        <v>339.25119999999998</v>
      </c>
      <c r="AI70" s="1">
        <v>38989</v>
      </c>
      <c r="AJ70" s="2">
        <v>222.5805</v>
      </c>
      <c r="AK70" s="1">
        <v>38625</v>
      </c>
      <c r="AL70" s="2">
        <v>2689.08</v>
      </c>
      <c r="AM70" s="1">
        <v>38625</v>
      </c>
      <c r="AN70" s="2">
        <v>707.61</v>
      </c>
      <c r="AO70" s="1">
        <v>38625</v>
      </c>
      <c r="AP70" s="2">
        <v>1395.54</v>
      </c>
      <c r="AQ70" s="1">
        <v>38625</v>
      </c>
      <c r="AR70" s="2">
        <v>768.49</v>
      </c>
      <c r="AS70" s="1">
        <v>38625</v>
      </c>
      <c r="AT70" s="2">
        <v>4602.5600000000004</v>
      </c>
      <c r="AU70" s="1">
        <v>38625</v>
      </c>
      <c r="AV70" s="2">
        <v>1952.75</v>
      </c>
      <c r="AW70" s="1">
        <v>40086</v>
      </c>
      <c r="AX70" s="2">
        <v>2104.0300000000002</v>
      </c>
      <c r="AY70" s="1">
        <v>40025</v>
      </c>
      <c r="AZ70" s="2">
        <v>72.77</v>
      </c>
      <c r="BA70" s="1">
        <v>43707</v>
      </c>
      <c r="BB70" s="2">
        <v>1387.75</v>
      </c>
      <c r="BC70" s="1">
        <v>38625</v>
      </c>
      <c r="BD70" s="2">
        <v>0.81</v>
      </c>
      <c r="BE70" s="1">
        <v>38625</v>
      </c>
      <c r="BF70" s="2">
        <v>13.849</v>
      </c>
      <c r="BG70" s="1">
        <v>38625</v>
      </c>
      <c r="BH70" s="2">
        <v>80.716999999999999</v>
      </c>
      <c r="BI70" s="1">
        <v>38625</v>
      </c>
      <c r="BJ70" s="2">
        <v>37.924999999999997</v>
      </c>
      <c r="BK70" s="1">
        <v>38625</v>
      </c>
      <c r="BL70" s="2">
        <v>632.51049999999998</v>
      </c>
      <c r="BM70" s="1">
        <v>40147</v>
      </c>
      <c r="BN70" s="2">
        <v>1276.057</v>
      </c>
      <c r="BO70" s="1">
        <v>40235</v>
      </c>
      <c r="BP70" s="2">
        <v>149.52000000000001</v>
      </c>
    </row>
    <row r="71" spans="1:68" x14ac:dyDescent="0.25">
      <c r="A71" s="1">
        <v>38656</v>
      </c>
      <c r="B71" s="2">
        <v>1601.6010000000001</v>
      </c>
      <c r="C71" s="1">
        <v>38656</v>
      </c>
      <c r="D71" s="2">
        <v>211.76</v>
      </c>
      <c r="E71" s="1">
        <v>38656</v>
      </c>
      <c r="F71" s="2">
        <v>196.58099999999999</v>
      </c>
      <c r="G71" s="1">
        <v>38656</v>
      </c>
      <c r="H71" s="2">
        <v>198.61680000000001</v>
      </c>
      <c r="I71" s="1">
        <v>38686</v>
      </c>
      <c r="J71" s="2">
        <v>118.8203</v>
      </c>
      <c r="K71" s="1">
        <v>38656</v>
      </c>
      <c r="L71" s="2">
        <v>123.1717</v>
      </c>
      <c r="M71" s="1">
        <v>38656</v>
      </c>
      <c r="N71" s="2">
        <v>120.4712</v>
      </c>
      <c r="O71" s="1">
        <v>38686</v>
      </c>
      <c r="P71" s="2">
        <v>107.9311</v>
      </c>
      <c r="Q71" s="1">
        <v>38656</v>
      </c>
      <c r="R71" s="2">
        <v>142.5351</v>
      </c>
      <c r="S71" s="1">
        <v>38656</v>
      </c>
      <c r="T71" s="2">
        <v>309.44290000000001</v>
      </c>
      <c r="U71" s="1">
        <v>38656</v>
      </c>
      <c r="V71" s="2">
        <v>205.3082</v>
      </c>
      <c r="W71" s="1">
        <v>38656</v>
      </c>
      <c r="X71" s="2">
        <v>1254.22</v>
      </c>
      <c r="Y71" s="1">
        <v>38656</v>
      </c>
      <c r="Z71" s="2">
        <v>17.266999999999999</v>
      </c>
      <c r="AA71" s="1">
        <v>39021</v>
      </c>
      <c r="AB71" s="2">
        <v>273.26249999999999</v>
      </c>
      <c r="AC71" s="1">
        <v>38656</v>
      </c>
      <c r="AD71" s="2">
        <v>249.94739999999999</v>
      </c>
      <c r="AE71" s="1">
        <v>39021</v>
      </c>
      <c r="AF71" s="2">
        <v>154.82910000000001</v>
      </c>
      <c r="AG71" s="1">
        <v>39021</v>
      </c>
      <c r="AH71" s="2">
        <v>323.23439999999999</v>
      </c>
      <c r="AI71" s="1">
        <v>39021</v>
      </c>
      <c r="AJ71" s="2">
        <v>228.0522</v>
      </c>
      <c r="AK71" s="1">
        <v>38656</v>
      </c>
      <c r="AL71" s="2">
        <v>2623.84</v>
      </c>
      <c r="AM71" s="1">
        <v>38656</v>
      </c>
      <c r="AN71" s="2">
        <v>690.05</v>
      </c>
      <c r="AO71" s="1">
        <v>38656</v>
      </c>
      <c r="AP71" s="2">
        <v>1359.52</v>
      </c>
      <c r="AQ71" s="1">
        <v>38656</v>
      </c>
      <c r="AR71" s="2">
        <v>736.87</v>
      </c>
      <c r="AS71" s="1">
        <v>38656</v>
      </c>
      <c r="AT71" s="2">
        <v>4477.03</v>
      </c>
      <c r="AU71" s="1">
        <v>38656</v>
      </c>
      <c r="AV71" s="2">
        <v>1911.24</v>
      </c>
      <c r="AW71" s="1">
        <v>40116</v>
      </c>
      <c r="AX71" s="2">
        <v>2113.11</v>
      </c>
      <c r="AY71" s="1">
        <v>40056</v>
      </c>
      <c r="AZ71" s="2">
        <v>76.569999999999993</v>
      </c>
      <c r="BA71" s="1">
        <v>43738</v>
      </c>
      <c r="BB71" s="2">
        <v>1389.62</v>
      </c>
      <c r="BC71" s="1">
        <v>38656</v>
      </c>
      <c r="BD71" s="2">
        <v>0.85</v>
      </c>
      <c r="BE71" s="1">
        <v>38656</v>
      </c>
      <c r="BF71" s="2">
        <v>10.993</v>
      </c>
      <c r="BG71" s="1">
        <v>38656</v>
      </c>
      <c r="BH71" s="2">
        <v>67.022000000000006</v>
      </c>
      <c r="BI71" s="1">
        <v>38656</v>
      </c>
      <c r="BJ71" s="2">
        <v>31.045999999999999</v>
      </c>
      <c r="BK71" s="1">
        <v>38656</v>
      </c>
      <c r="BL71" s="2">
        <v>621.0009</v>
      </c>
      <c r="BM71" s="1">
        <v>40178</v>
      </c>
      <c r="BN71" s="2">
        <v>1308.5530000000001</v>
      </c>
      <c r="BO71" s="1">
        <v>40268</v>
      </c>
      <c r="BP71" s="2">
        <v>157.47</v>
      </c>
    </row>
    <row r="72" spans="1:68" x14ac:dyDescent="0.25">
      <c r="A72" s="1">
        <v>38686</v>
      </c>
      <c r="B72" s="2">
        <v>1669.4970000000001</v>
      </c>
      <c r="C72" s="1">
        <v>38686</v>
      </c>
      <c r="D72" s="2">
        <v>215.2106</v>
      </c>
      <c r="E72" s="1">
        <v>38686</v>
      </c>
      <c r="F72" s="2">
        <v>199.75</v>
      </c>
      <c r="G72" s="1">
        <v>38686</v>
      </c>
      <c r="H72" s="2">
        <v>200.47739999999999</v>
      </c>
      <c r="I72" s="1">
        <v>38716</v>
      </c>
      <c r="J72" s="2">
        <v>118.81489999999999</v>
      </c>
      <c r="K72" s="1">
        <v>38686</v>
      </c>
      <c r="L72" s="2">
        <v>124.69450000000001</v>
      </c>
      <c r="M72" s="1">
        <v>38686</v>
      </c>
      <c r="N72" s="2">
        <v>119.73690000000001</v>
      </c>
      <c r="O72" s="1">
        <v>38716</v>
      </c>
      <c r="P72" s="2">
        <v>107.9211</v>
      </c>
      <c r="Q72" s="1">
        <v>38686</v>
      </c>
      <c r="R72" s="2">
        <v>143.9306</v>
      </c>
      <c r="S72" s="1">
        <v>38686</v>
      </c>
      <c r="T72" s="2">
        <v>310.91449999999998</v>
      </c>
      <c r="U72" s="1">
        <v>38686</v>
      </c>
      <c r="V72" s="2">
        <v>203.74019999999999</v>
      </c>
      <c r="W72" s="1">
        <v>38686</v>
      </c>
      <c r="X72" s="2">
        <v>1258.3</v>
      </c>
      <c r="Y72" s="1">
        <v>38686</v>
      </c>
      <c r="Z72" s="2">
        <v>7.8019999999999996</v>
      </c>
      <c r="AA72" s="1">
        <v>39051</v>
      </c>
      <c r="AB72" s="2">
        <v>287.18079999999998</v>
      </c>
      <c r="AC72" s="1">
        <v>38686</v>
      </c>
      <c r="AD72" s="2">
        <v>251.40960000000001</v>
      </c>
      <c r="AE72" s="1">
        <v>39051</v>
      </c>
      <c r="AF72" s="2">
        <v>164.3323</v>
      </c>
      <c r="AG72" s="1">
        <v>39051</v>
      </c>
      <c r="AH72" s="2">
        <v>343.63580000000002</v>
      </c>
      <c r="AI72" s="1">
        <v>39051</v>
      </c>
      <c r="AJ72" s="2">
        <v>248.36189999999999</v>
      </c>
      <c r="AK72" s="1">
        <v>38686</v>
      </c>
      <c r="AL72" s="2">
        <v>2711.26</v>
      </c>
      <c r="AM72" s="1">
        <v>38686</v>
      </c>
      <c r="AN72" s="2">
        <v>706.52</v>
      </c>
      <c r="AO72" s="1">
        <v>38686</v>
      </c>
      <c r="AP72" s="2">
        <v>1388.62</v>
      </c>
      <c r="AQ72" s="1">
        <v>38686</v>
      </c>
      <c r="AR72" s="2">
        <v>762.12</v>
      </c>
      <c r="AS72" s="1">
        <v>38686</v>
      </c>
      <c r="AT72" s="2">
        <v>4630.24</v>
      </c>
      <c r="AU72" s="1">
        <v>38686</v>
      </c>
      <c r="AV72" s="2">
        <v>1973.21</v>
      </c>
      <c r="AW72" s="1">
        <v>40147</v>
      </c>
      <c r="AX72" s="2">
        <v>2210.4899999999998</v>
      </c>
      <c r="AY72" s="1">
        <v>40086</v>
      </c>
      <c r="AZ72" s="2">
        <v>83.69</v>
      </c>
      <c r="BA72" s="1">
        <v>43769</v>
      </c>
      <c r="BB72" s="2">
        <v>1386.79</v>
      </c>
      <c r="BC72" s="1">
        <v>38686</v>
      </c>
      <c r="BD72" s="2">
        <v>0.87</v>
      </c>
      <c r="BE72" s="1">
        <v>38686</v>
      </c>
      <c r="BF72" s="2">
        <v>7.4470000000000001</v>
      </c>
      <c r="BG72" s="1">
        <v>38686</v>
      </c>
      <c r="BH72" s="2">
        <v>59.555999999999997</v>
      </c>
      <c r="BI72" s="1">
        <v>38686</v>
      </c>
      <c r="BJ72" s="2">
        <v>27.922999999999998</v>
      </c>
      <c r="BK72" s="1">
        <v>38686</v>
      </c>
      <c r="BL72" s="2">
        <v>613.42359999999996</v>
      </c>
      <c r="BM72" s="1">
        <v>40207</v>
      </c>
      <c r="BN72" s="2">
        <v>1246.239</v>
      </c>
      <c r="BO72" s="1">
        <v>40298</v>
      </c>
      <c r="BP72" s="2">
        <v>157.44</v>
      </c>
    </row>
    <row r="73" spans="1:68" x14ac:dyDescent="0.25">
      <c r="A73" s="1">
        <v>38716</v>
      </c>
      <c r="B73" s="2">
        <v>1629.52</v>
      </c>
      <c r="C73" s="1">
        <v>38716</v>
      </c>
      <c r="D73" s="2">
        <v>211.33670000000001</v>
      </c>
      <c r="E73" s="1">
        <v>38716</v>
      </c>
      <c r="F73" s="2">
        <v>195.36500000000001</v>
      </c>
      <c r="G73" s="1">
        <v>38716</v>
      </c>
      <c r="H73" s="2">
        <v>202.2636</v>
      </c>
      <c r="I73" s="1">
        <v>38748</v>
      </c>
      <c r="J73" s="2">
        <v>120.0868</v>
      </c>
      <c r="K73" s="1">
        <v>38716</v>
      </c>
      <c r="L73" s="2">
        <v>126.68770000000001</v>
      </c>
      <c r="M73" s="1">
        <v>38716</v>
      </c>
      <c r="N73" s="2">
        <v>119.1172</v>
      </c>
      <c r="O73" s="1">
        <v>38748</v>
      </c>
      <c r="P73" s="2">
        <v>109.52419999999999</v>
      </c>
      <c r="Q73" s="1">
        <v>38716</v>
      </c>
      <c r="R73" s="2">
        <v>142.6362</v>
      </c>
      <c r="S73" s="1">
        <v>38716</v>
      </c>
      <c r="T73" s="2">
        <v>313.54219999999998</v>
      </c>
      <c r="U73" s="1">
        <v>38716</v>
      </c>
      <c r="V73" s="2">
        <v>206.61920000000001</v>
      </c>
      <c r="W73" s="1">
        <v>38716</v>
      </c>
      <c r="X73" s="2">
        <v>1270.6099999999999</v>
      </c>
      <c r="Y73" s="1">
        <v>38716</v>
      </c>
      <c r="Z73" s="2">
        <v>-1.962</v>
      </c>
      <c r="AA73" s="1">
        <v>39080</v>
      </c>
      <c r="AB73" s="2">
        <v>279.08190000000002</v>
      </c>
      <c r="AC73" s="1">
        <v>38716</v>
      </c>
      <c r="AD73" s="2">
        <v>270.47359999999998</v>
      </c>
      <c r="AE73" s="1">
        <v>39080</v>
      </c>
      <c r="AF73" s="2">
        <v>164.3818</v>
      </c>
      <c r="AG73" s="1">
        <v>39080</v>
      </c>
      <c r="AH73" s="2">
        <v>317.97469999999998</v>
      </c>
      <c r="AI73" s="1">
        <v>39080</v>
      </c>
      <c r="AJ73" s="2">
        <v>239.35509999999999</v>
      </c>
      <c r="AK73" s="1">
        <v>38716</v>
      </c>
      <c r="AL73" s="2">
        <v>2771.33</v>
      </c>
      <c r="AM73" s="1">
        <v>38716</v>
      </c>
      <c r="AN73" s="2">
        <v>709.32</v>
      </c>
      <c r="AO73" s="1">
        <v>38716</v>
      </c>
      <c r="AP73" s="2">
        <v>1411.99</v>
      </c>
      <c r="AQ73" s="1">
        <v>38716</v>
      </c>
      <c r="AR73" s="2">
        <v>810.37</v>
      </c>
      <c r="AS73" s="1">
        <v>38716</v>
      </c>
      <c r="AT73" s="2">
        <v>4734.42</v>
      </c>
      <c r="AU73" s="1">
        <v>38716</v>
      </c>
      <c r="AV73" s="2">
        <v>2016.24</v>
      </c>
      <c r="AW73" s="1">
        <v>40178</v>
      </c>
      <c r="AX73" s="2">
        <v>2191.52</v>
      </c>
      <c r="AY73" s="1">
        <v>40116</v>
      </c>
      <c r="AZ73" s="2">
        <v>77.650000000000006</v>
      </c>
      <c r="BA73" s="1">
        <v>43798</v>
      </c>
      <c r="BB73" s="2">
        <v>1405.19</v>
      </c>
      <c r="BC73" s="1">
        <v>38716</v>
      </c>
      <c r="BD73" s="2">
        <v>0.83</v>
      </c>
      <c r="BE73" s="1">
        <v>38716</v>
      </c>
      <c r="BF73" s="2">
        <v>3.5830000000000002</v>
      </c>
      <c r="BG73" s="1">
        <v>38716</v>
      </c>
      <c r="BH73" s="2">
        <v>30.702000000000002</v>
      </c>
      <c r="BI73" s="1">
        <v>38716</v>
      </c>
      <c r="BJ73" s="2">
        <v>18.385999999999999</v>
      </c>
      <c r="BK73" s="1">
        <v>38716</v>
      </c>
      <c r="BL73" s="2">
        <v>620.35</v>
      </c>
      <c r="BM73" s="1">
        <v>40235</v>
      </c>
      <c r="BN73" s="2">
        <v>1271.671</v>
      </c>
      <c r="BO73" s="1">
        <v>40329</v>
      </c>
      <c r="BP73" s="2">
        <v>137.34</v>
      </c>
    </row>
    <row r="74" spans="1:68" x14ac:dyDescent="0.25">
      <c r="A74" s="1">
        <v>38748</v>
      </c>
      <c r="B74" s="2">
        <v>1655.7739999999999</v>
      </c>
      <c r="C74" s="1">
        <v>38748</v>
      </c>
      <c r="D74" s="2">
        <v>212.34639999999999</v>
      </c>
      <c r="E74" s="1">
        <v>38748</v>
      </c>
      <c r="F74" s="2">
        <v>194.85300000000001</v>
      </c>
      <c r="G74" s="1">
        <v>38748</v>
      </c>
      <c r="H74" s="2">
        <v>209.8723</v>
      </c>
      <c r="I74" s="1">
        <v>38776</v>
      </c>
      <c r="J74" s="2">
        <v>120.3081</v>
      </c>
      <c r="K74" s="1">
        <v>38748</v>
      </c>
      <c r="L74" s="2">
        <v>130.64420000000001</v>
      </c>
      <c r="M74" s="1">
        <v>38748</v>
      </c>
      <c r="N74" s="2">
        <v>118.50490000000001</v>
      </c>
      <c r="O74" s="1">
        <v>38776</v>
      </c>
      <c r="P74" s="2">
        <v>109.2957</v>
      </c>
      <c r="Q74" s="1">
        <v>38748</v>
      </c>
      <c r="R74" s="2">
        <v>142.31540000000001</v>
      </c>
      <c r="S74" s="1">
        <v>38748</v>
      </c>
      <c r="T74" s="2">
        <v>313.29020000000003</v>
      </c>
      <c r="U74" s="1">
        <v>38748</v>
      </c>
      <c r="V74" s="2">
        <v>210.54740000000001</v>
      </c>
      <c r="W74" s="1">
        <v>38748</v>
      </c>
      <c r="X74" s="2">
        <v>1274.7</v>
      </c>
      <c r="Y74" s="1">
        <v>38748</v>
      </c>
      <c r="Z74" s="2">
        <v>-0.45700000000000002</v>
      </c>
      <c r="AA74" s="1">
        <v>39113</v>
      </c>
      <c r="AB74" s="2">
        <v>276.7722</v>
      </c>
      <c r="AC74" s="1">
        <v>38748</v>
      </c>
      <c r="AD74" s="2">
        <v>283.52109999999999</v>
      </c>
      <c r="AE74" s="1">
        <v>39113</v>
      </c>
      <c r="AF74" s="2">
        <v>165.54339999999999</v>
      </c>
      <c r="AG74" s="1">
        <v>39113</v>
      </c>
      <c r="AH74" s="2">
        <v>308.30919999999998</v>
      </c>
      <c r="AI74" s="1">
        <v>39113</v>
      </c>
      <c r="AJ74" s="2">
        <v>247.29900000000001</v>
      </c>
      <c r="AK74" s="1">
        <v>38748</v>
      </c>
      <c r="AL74" s="2">
        <v>2895.08</v>
      </c>
      <c r="AM74" s="1">
        <v>38748</v>
      </c>
      <c r="AN74" s="2">
        <v>734.29</v>
      </c>
      <c r="AO74" s="1">
        <v>38748</v>
      </c>
      <c r="AP74" s="2">
        <v>1451.48</v>
      </c>
      <c r="AQ74" s="1">
        <v>38748</v>
      </c>
      <c r="AR74" s="2">
        <v>871.71</v>
      </c>
      <c r="AS74" s="1">
        <v>38748</v>
      </c>
      <c r="AT74" s="2">
        <v>4938.88</v>
      </c>
      <c r="AU74" s="1">
        <v>38748</v>
      </c>
      <c r="AV74" s="2">
        <v>2109.1999999999998</v>
      </c>
      <c r="AW74" s="1">
        <v>40207</v>
      </c>
      <c r="AX74" s="2">
        <v>2153.36</v>
      </c>
      <c r="AY74" s="1">
        <v>40147</v>
      </c>
      <c r="AZ74" s="2">
        <v>79.36</v>
      </c>
      <c r="BA74" s="1">
        <v>43830</v>
      </c>
      <c r="BB74" s="2">
        <v>1429.27</v>
      </c>
      <c r="BC74" s="1">
        <v>38748</v>
      </c>
      <c r="BD74" s="2">
        <v>0.81</v>
      </c>
      <c r="BE74" s="1">
        <v>38748</v>
      </c>
      <c r="BF74" s="2">
        <v>6.4359999999999999</v>
      </c>
      <c r="BG74" s="1">
        <v>38748</v>
      </c>
      <c r="BH74" s="2">
        <v>5.1970000000000001</v>
      </c>
      <c r="BI74" s="1">
        <v>38748</v>
      </c>
      <c r="BJ74" s="2">
        <v>22.516999999999999</v>
      </c>
      <c r="BK74" s="1">
        <v>38748</v>
      </c>
      <c r="BL74" s="2">
        <v>628.36389999999994</v>
      </c>
      <c r="BM74" s="1">
        <v>40268</v>
      </c>
      <c r="BN74" s="2">
        <v>1349.5920000000001</v>
      </c>
      <c r="BO74" s="1">
        <v>40359</v>
      </c>
      <c r="BP74" s="2">
        <v>135.19</v>
      </c>
    </row>
    <row r="75" spans="1:68" x14ac:dyDescent="0.25">
      <c r="A75" s="1">
        <v>38776</v>
      </c>
      <c r="B75" s="2">
        <v>1624.748</v>
      </c>
      <c r="C75" s="1">
        <v>38776</v>
      </c>
      <c r="D75" s="2">
        <v>214.27430000000001</v>
      </c>
      <c r="E75" s="1">
        <v>38776</v>
      </c>
      <c r="F75" s="2">
        <v>196.154</v>
      </c>
      <c r="G75" s="1">
        <v>38776</v>
      </c>
      <c r="H75" s="2">
        <v>211.00200000000001</v>
      </c>
      <c r="I75" s="1">
        <v>38807</v>
      </c>
      <c r="J75" s="2">
        <v>121.3691</v>
      </c>
      <c r="K75" s="1">
        <v>38776</v>
      </c>
      <c r="L75" s="2">
        <v>131.04990000000001</v>
      </c>
      <c r="M75" s="1">
        <v>38776</v>
      </c>
      <c r="N75" s="2">
        <v>118.84</v>
      </c>
      <c r="O75" s="1">
        <v>38807</v>
      </c>
      <c r="P75" s="2">
        <v>110.0872</v>
      </c>
      <c r="Q75" s="1">
        <v>38776</v>
      </c>
      <c r="R75" s="2">
        <v>143.262</v>
      </c>
      <c r="S75" s="1">
        <v>38776</v>
      </c>
      <c r="T75" s="2">
        <v>314.19470000000001</v>
      </c>
      <c r="U75" s="1">
        <v>38776</v>
      </c>
      <c r="V75" s="2">
        <v>208.47669999999999</v>
      </c>
      <c r="W75" s="1">
        <v>38776</v>
      </c>
      <c r="X75" s="2">
        <v>1280.6400000000001</v>
      </c>
      <c r="Y75" s="1">
        <v>38776</v>
      </c>
      <c r="Z75" s="2">
        <v>-13.281000000000001</v>
      </c>
      <c r="AA75" s="1">
        <v>39141</v>
      </c>
      <c r="AB75" s="2">
        <v>290.75139999999999</v>
      </c>
      <c r="AC75" s="1">
        <v>38776</v>
      </c>
      <c r="AD75" s="2">
        <v>269.9289</v>
      </c>
      <c r="AE75" s="1">
        <v>39141</v>
      </c>
      <c r="AF75" s="2">
        <v>172.55760000000001</v>
      </c>
      <c r="AG75" s="1">
        <v>39141</v>
      </c>
      <c r="AH75" s="2">
        <v>324.32810000000001</v>
      </c>
      <c r="AI75" s="1">
        <v>39141</v>
      </c>
      <c r="AJ75" s="2">
        <v>254.83850000000001</v>
      </c>
      <c r="AK75" s="1">
        <v>38776</v>
      </c>
      <c r="AL75" s="2">
        <v>2890.77</v>
      </c>
      <c r="AM75" s="1">
        <v>38776</v>
      </c>
      <c r="AN75" s="2">
        <v>726.43</v>
      </c>
      <c r="AO75" s="1">
        <v>38776</v>
      </c>
      <c r="AP75" s="2">
        <v>1461.65</v>
      </c>
      <c r="AQ75" s="1">
        <v>38776</v>
      </c>
      <c r="AR75" s="2">
        <v>851.15</v>
      </c>
      <c r="AS75" s="1">
        <v>38776</v>
      </c>
      <c r="AT75" s="2">
        <v>4975.25</v>
      </c>
      <c r="AU75" s="1">
        <v>38776</v>
      </c>
      <c r="AV75" s="2">
        <v>2087.65</v>
      </c>
      <c r="AW75" s="1">
        <v>40235</v>
      </c>
      <c r="AX75" s="2">
        <v>2205.92</v>
      </c>
      <c r="AY75" s="1">
        <v>40178</v>
      </c>
      <c r="AZ75" s="2">
        <v>80.88</v>
      </c>
      <c r="BA75" s="1">
        <v>43861</v>
      </c>
      <c r="BB75" s="2">
        <v>1410.79</v>
      </c>
      <c r="BC75" s="1">
        <v>38776</v>
      </c>
      <c r="BD75" s="2">
        <v>0.78</v>
      </c>
      <c r="BE75" s="1">
        <v>38776</v>
      </c>
      <c r="BF75" s="2">
        <v>-5.2839999999999998</v>
      </c>
      <c r="BG75" s="1">
        <v>38776</v>
      </c>
      <c r="BH75" s="2">
        <v>-3.601</v>
      </c>
      <c r="BI75" s="1">
        <v>38776</v>
      </c>
      <c r="BJ75" s="2">
        <v>-9.08</v>
      </c>
      <c r="BK75" s="1">
        <v>38776</v>
      </c>
      <c r="BL75" s="2">
        <v>625.12419999999997</v>
      </c>
      <c r="BM75" s="1">
        <v>40298</v>
      </c>
      <c r="BN75" s="2">
        <v>1352.473</v>
      </c>
      <c r="BO75" s="1">
        <v>40389</v>
      </c>
      <c r="BP75" s="2">
        <v>152.01</v>
      </c>
    </row>
    <row r="76" spans="1:68" x14ac:dyDescent="0.25">
      <c r="A76" s="1">
        <v>38807</v>
      </c>
      <c r="B76" s="2">
        <v>1683.232</v>
      </c>
      <c r="C76" s="1">
        <v>38807</v>
      </c>
      <c r="D76" s="2">
        <v>208.01089999999999</v>
      </c>
      <c r="E76" s="1">
        <v>38807</v>
      </c>
      <c r="F76" s="2">
        <v>189.1</v>
      </c>
      <c r="G76" s="1">
        <v>38807</v>
      </c>
      <c r="H76" s="2">
        <v>208.69810000000001</v>
      </c>
      <c r="I76" s="1">
        <v>38835</v>
      </c>
      <c r="J76" s="2">
        <v>122.6174</v>
      </c>
      <c r="K76" s="1">
        <v>38807</v>
      </c>
      <c r="L76" s="2">
        <v>132.8683</v>
      </c>
      <c r="M76" s="1">
        <v>38807</v>
      </c>
      <c r="N76" s="2">
        <v>121.6968</v>
      </c>
      <c r="O76" s="1">
        <v>38835</v>
      </c>
      <c r="P76" s="2">
        <v>111.4173</v>
      </c>
      <c r="Q76" s="1">
        <v>38807</v>
      </c>
      <c r="R76" s="2">
        <v>142.7593</v>
      </c>
      <c r="S76" s="1">
        <v>38807</v>
      </c>
      <c r="T76" s="2">
        <v>311.44659999999999</v>
      </c>
      <c r="U76" s="1">
        <v>38807</v>
      </c>
      <c r="V76" s="2">
        <v>204.38630000000001</v>
      </c>
      <c r="W76" s="1">
        <v>38807</v>
      </c>
      <c r="X76" s="2">
        <v>1269.78</v>
      </c>
      <c r="Y76" s="1">
        <v>38807</v>
      </c>
      <c r="Z76" s="2">
        <v>3.302</v>
      </c>
      <c r="AA76" s="1">
        <v>39171</v>
      </c>
      <c r="AB76" s="2">
        <v>296.45670000000001</v>
      </c>
      <c r="AC76" s="1">
        <v>38807</v>
      </c>
      <c r="AD76" s="2">
        <v>276.04660000000001</v>
      </c>
      <c r="AE76" s="1">
        <v>39171</v>
      </c>
      <c r="AF76" s="2">
        <v>166.7122</v>
      </c>
      <c r="AG76" s="1">
        <v>39171</v>
      </c>
      <c r="AH76" s="2">
        <v>344.35480000000001</v>
      </c>
      <c r="AI76" s="1">
        <v>39171</v>
      </c>
      <c r="AJ76" s="2">
        <v>249.4871</v>
      </c>
      <c r="AK76" s="1">
        <v>38807</v>
      </c>
      <c r="AL76" s="2">
        <v>2954.33</v>
      </c>
      <c r="AM76" s="1">
        <v>38807</v>
      </c>
      <c r="AN76" s="2">
        <v>741.17</v>
      </c>
      <c r="AO76" s="1">
        <v>38807</v>
      </c>
      <c r="AP76" s="2">
        <v>1476.91</v>
      </c>
      <c r="AQ76" s="1">
        <v>38807</v>
      </c>
      <c r="AR76" s="2">
        <v>880.79</v>
      </c>
      <c r="AS76" s="1">
        <v>38807</v>
      </c>
      <c r="AT76" s="2">
        <v>5070.3100000000004</v>
      </c>
      <c r="AU76" s="1">
        <v>38807</v>
      </c>
      <c r="AV76" s="2">
        <v>2139.5700000000002</v>
      </c>
      <c r="AW76" s="1">
        <v>40268</v>
      </c>
      <c r="AX76" s="2">
        <v>2240.61</v>
      </c>
      <c r="AY76" s="1">
        <v>40207</v>
      </c>
      <c r="AZ76" s="2">
        <v>82.81</v>
      </c>
      <c r="BA76" s="1">
        <v>43889</v>
      </c>
      <c r="BB76" s="2">
        <v>1360.99</v>
      </c>
      <c r="BC76" s="1">
        <v>38807</v>
      </c>
      <c r="BD76" s="2">
        <v>0.81</v>
      </c>
      <c r="BE76" s="1">
        <v>38807</v>
      </c>
      <c r="BF76" s="2">
        <v>1.83</v>
      </c>
      <c r="BG76" s="1">
        <v>38807</v>
      </c>
      <c r="BH76" s="2">
        <v>24.635999999999999</v>
      </c>
      <c r="BI76" s="1">
        <v>38807</v>
      </c>
      <c r="BJ76" s="2">
        <v>5.6319999999999997</v>
      </c>
      <c r="BK76" s="1">
        <v>38807</v>
      </c>
      <c r="BL76" s="2">
        <v>617.83299999999997</v>
      </c>
      <c r="BM76" s="1">
        <v>40329</v>
      </c>
      <c r="BN76" s="2">
        <v>1218.779</v>
      </c>
      <c r="BO76" s="1">
        <v>40421</v>
      </c>
      <c r="BP76" s="2">
        <v>154.33000000000001</v>
      </c>
    </row>
    <row r="77" spans="1:68" x14ac:dyDescent="0.25">
      <c r="A77" s="1">
        <v>38835</v>
      </c>
      <c r="B77" s="2">
        <v>1752.89</v>
      </c>
      <c r="C77" s="1">
        <v>38835</v>
      </c>
      <c r="D77" s="2">
        <v>205.76929999999999</v>
      </c>
      <c r="E77" s="1">
        <v>38835</v>
      </c>
      <c r="F77" s="2">
        <v>187.047</v>
      </c>
      <c r="G77" s="1">
        <v>38835</v>
      </c>
      <c r="H77" s="2">
        <v>214.06489999999999</v>
      </c>
      <c r="I77" s="1">
        <v>38868</v>
      </c>
      <c r="J77" s="2">
        <v>121.5333</v>
      </c>
      <c r="K77" s="1">
        <v>38835</v>
      </c>
      <c r="L77" s="2">
        <v>133.61009999999999</v>
      </c>
      <c r="M77" s="1">
        <v>38835</v>
      </c>
      <c r="N77" s="2">
        <v>124.1435</v>
      </c>
      <c r="O77" s="1">
        <v>38868</v>
      </c>
      <c r="P77" s="2">
        <v>111.4042</v>
      </c>
      <c r="Q77" s="1">
        <v>38835</v>
      </c>
      <c r="R77" s="2">
        <v>143.2552</v>
      </c>
      <c r="S77" s="1">
        <v>38835</v>
      </c>
      <c r="T77" s="2">
        <v>310.34179999999998</v>
      </c>
      <c r="U77" s="1">
        <v>38835</v>
      </c>
      <c r="V77" s="2">
        <v>208.23519999999999</v>
      </c>
      <c r="W77" s="1">
        <v>38835</v>
      </c>
      <c r="X77" s="2">
        <v>1269.8499999999999</v>
      </c>
      <c r="Y77" s="1">
        <v>38835</v>
      </c>
      <c r="Z77" s="2">
        <v>18.942</v>
      </c>
      <c r="AA77" s="1">
        <v>39202</v>
      </c>
      <c r="AB77" s="2">
        <v>303.17</v>
      </c>
      <c r="AC77" s="1">
        <v>38835</v>
      </c>
      <c r="AD77" s="2">
        <v>294.27760000000001</v>
      </c>
      <c r="AE77" s="1">
        <v>39202</v>
      </c>
      <c r="AF77" s="2">
        <v>163.97790000000001</v>
      </c>
      <c r="AG77" s="1">
        <v>39202</v>
      </c>
      <c r="AH77" s="2">
        <v>347.12470000000002</v>
      </c>
      <c r="AI77" s="1">
        <v>39202</v>
      </c>
      <c r="AJ77" s="2">
        <v>254.61060000000001</v>
      </c>
      <c r="AK77" s="1">
        <v>38835</v>
      </c>
      <c r="AL77" s="2">
        <v>3044.03</v>
      </c>
      <c r="AM77" s="1">
        <v>38835</v>
      </c>
      <c r="AN77" s="2">
        <v>756.2</v>
      </c>
      <c r="AO77" s="1">
        <v>38835</v>
      </c>
      <c r="AP77" s="2">
        <v>1505.47</v>
      </c>
      <c r="AQ77" s="1">
        <v>38835</v>
      </c>
      <c r="AR77" s="2">
        <v>911.38</v>
      </c>
      <c r="AS77" s="1">
        <v>38835</v>
      </c>
      <c r="AT77" s="2">
        <v>5261.06</v>
      </c>
      <c r="AU77" s="1">
        <v>38835</v>
      </c>
      <c r="AV77" s="2">
        <v>2189.1</v>
      </c>
      <c r="AW77" s="1">
        <v>40298</v>
      </c>
      <c r="AX77" s="2">
        <v>2303.17</v>
      </c>
      <c r="AY77" s="1">
        <v>40235</v>
      </c>
      <c r="AZ77" s="2">
        <v>84.24</v>
      </c>
      <c r="BA77" s="1">
        <v>43921</v>
      </c>
      <c r="BB77" s="2">
        <v>1262.3699999999999</v>
      </c>
      <c r="BC77" s="1">
        <v>38835</v>
      </c>
      <c r="BD77" s="2">
        <v>0.8</v>
      </c>
      <c r="BE77" s="1">
        <v>38835</v>
      </c>
      <c r="BF77" s="2">
        <v>13.488</v>
      </c>
      <c r="BG77" s="1">
        <v>38835</v>
      </c>
      <c r="BH77" s="2">
        <v>31.655999999999999</v>
      </c>
      <c r="BI77" s="1">
        <v>38835</v>
      </c>
      <c r="BJ77" s="2">
        <v>23.812999999999999</v>
      </c>
      <c r="BK77" s="1">
        <v>38835</v>
      </c>
      <c r="BL77" s="2">
        <v>632.58590000000004</v>
      </c>
      <c r="BM77" s="1">
        <v>40359</v>
      </c>
      <c r="BN77" s="2">
        <v>1173.9100000000001</v>
      </c>
      <c r="BO77" s="1">
        <v>40451</v>
      </c>
      <c r="BP77" s="2">
        <v>162.05000000000001</v>
      </c>
    </row>
    <row r="78" spans="1:68" x14ac:dyDescent="0.25">
      <c r="A78" s="1">
        <v>38868</v>
      </c>
      <c r="B78" s="2">
        <v>1715.5809999999999</v>
      </c>
      <c r="C78" s="1">
        <v>38868</v>
      </c>
      <c r="D78" s="2">
        <v>198.20699999999999</v>
      </c>
      <c r="E78" s="1">
        <v>38868</v>
      </c>
      <c r="F78" s="2">
        <v>184.09200000000001</v>
      </c>
      <c r="G78" s="1">
        <v>38868</v>
      </c>
      <c r="H78" s="2">
        <v>202.91829999999999</v>
      </c>
      <c r="I78" s="1">
        <v>38898</v>
      </c>
      <c r="J78" s="2">
        <v>120.7225</v>
      </c>
      <c r="K78" s="1">
        <v>38868</v>
      </c>
      <c r="L78" s="2">
        <v>129.49549999999999</v>
      </c>
      <c r="M78" s="1">
        <v>38868</v>
      </c>
      <c r="N78" s="2">
        <v>124.0951</v>
      </c>
      <c r="O78" s="1">
        <v>38898</v>
      </c>
      <c r="P78" s="2">
        <v>110.10039999999999</v>
      </c>
      <c r="Q78" s="1">
        <v>38868</v>
      </c>
      <c r="R78" s="2">
        <v>141.4881</v>
      </c>
      <c r="S78" s="1">
        <v>38868</v>
      </c>
      <c r="T78" s="2">
        <v>311.33019999999999</v>
      </c>
      <c r="U78" s="1">
        <v>38868</v>
      </c>
      <c r="V78" s="2">
        <v>212.21850000000001</v>
      </c>
      <c r="W78" s="1">
        <v>38868</v>
      </c>
      <c r="X78" s="2">
        <v>1267.44</v>
      </c>
      <c r="Y78" s="1">
        <v>38868</v>
      </c>
      <c r="Z78" s="2">
        <v>9</v>
      </c>
      <c r="AA78" s="1">
        <v>39233</v>
      </c>
      <c r="AB78" s="2">
        <v>304.661</v>
      </c>
      <c r="AC78" s="1">
        <v>38868</v>
      </c>
      <c r="AD78" s="2">
        <v>297.3383</v>
      </c>
      <c r="AE78" s="1">
        <v>39233</v>
      </c>
      <c r="AF78" s="2">
        <v>171.08080000000001</v>
      </c>
      <c r="AG78" s="1">
        <v>39233</v>
      </c>
      <c r="AH78" s="2">
        <v>340.68209999999999</v>
      </c>
      <c r="AI78" s="1">
        <v>39233</v>
      </c>
      <c r="AJ78" s="2">
        <v>248.8647</v>
      </c>
      <c r="AK78" s="1">
        <v>38868</v>
      </c>
      <c r="AL78" s="2">
        <v>2940.05</v>
      </c>
      <c r="AM78" s="1">
        <v>38868</v>
      </c>
      <c r="AN78" s="2">
        <v>734.51</v>
      </c>
      <c r="AO78" s="1">
        <v>38868</v>
      </c>
      <c r="AP78" s="2">
        <v>1471.12</v>
      </c>
      <c r="AQ78" s="1">
        <v>38868</v>
      </c>
      <c r="AR78" s="2">
        <v>857.17</v>
      </c>
      <c r="AS78" s="1">
        <v>38868</v>
      </c>
      <c r="AT78" s="2">
        <v>5104.07</v>
      </c>
      <c r="AU78" s="1">
        <v>38868</v>
      </c>
      <c r="AV78" s="2">
        <v>2104.79</v>
      </c>
      <c r="AW78" s="1">
        <v>40329</v>
      </c>
      <c r="AX78" s="2">
        <v>2259.0500000000002</v>
      </c>
      <c r="AY78" s="1">
        <v>40268</v>
      </c>
      <c r="AZ78" s="2">
        <v>91.74</v>
      </c>
      <c r="BA78" s="1">
        <v>43951</v>
      </c>
      <c r="BB78" s="2">
        <v>1374.34</v>
      </c>
      <c r="BC78" s="1">
        <v>38868</v>
      </c>
      <c r="BD78" s="2">
        <v>0.84</v>
      </c>
      <c r="BE78" s="1">
        <v>38868</v>
      </c>
      <c r="BF78" s="2">
        <v>8.7889999999999997</v>
      </c>
      <c r="BG78" s="1">
        <v>38868</v>
      </c>
      <c r="BH78" s="2">
        <v>29.358000000000001</v>
      </c>
      <c r="BI78" s="1">
        <v>38868</v>
      </c>
      <c r="BJ78" s="2">
        <v>19.602</v>
      </c>
      <c r="BK78" s="1">
        <v>38868</v>
      </c>
      <c r="BL78" s="2">
        <v>644.17600000000004</v>
      </c>
      <c r="BM78" s="1">
        <v>40389</v>
      </c>
      <c r="BN78" s="2">
        <v>1273.7049999999999</v>
      </c>
      <c r="BO78" s="1">
        <v>40480</v>
      </c>
      <c r="BP78" s="2">
        <v>171.38</v>
      </c>
    </row>
    <row r="79" spans="1:68" x14ac:dyDescent="0.25">
      <c r="A79" s="1">
        <v>38898</v>
      </c>
      <c r="B79" s="2">
        <v>1684.4680000000001</v>
      </c>
      <c r="C79" s="1">
        <v>38898</v>
      </c>
      <c r="D79" s="2">
        <v>198.81049999999999</v>
      </c>
      <c r="E79" s="1">
        <v>38898</v>
      </c>
      <c r="F79" s="2">
        <v>182.577</v>
      </c>
      <c r="G79" s="1">
        <v>38898</v>
      </c>
      <c r="H79" s="2">
        <v>200.89510000000001</v>
      </c>
      <c r="I79" s="1">
        <v>38929</v>
      </c>
      <c r="J79" s="2">
        <v>120.0432</v>
      </c>
      <c r="K79" s="1">
        <v>38898</v>
      </c>
      <c r="L79" s="2">
        <v>128.7534</v>
      </c>
      <c r="M79" s="1">
        <v>38898</v>
      </c>
      <c r="N79" s="2">
        <v>124.7071</v>
      </c>
      <c r="O79" s="1">
        <v>38929</v>
      </c>
      <c r="P79" s="2">
        <v>109.732</v>
      </c>
      <c r="Q79" s="1">
        <v>38898</v>
      </c>
      <c r="R79" s="2">
        <v>140.41679999999999</v>
      </c>
      <c r="S79" s="1">
        <v>38898</v>
      </c>
      <c r="T79" s="2">
        <v>311.29520000000002</v>
      </c>
      <c r="U79" s="1">
        <v>38898</v>
      </c>
      <c r="V79" s="2">
        <v>211.40479999999999</v>
      </c>
      <c r="W79" s="1">
        <v>38898</v>
      </c>
      <c r="X79" s="2">
        <v>1269.8900000000001</v>
      </c>
      <c r="Y79" s="1">
        <v>38898</v>
      </c>
      <c r="Z79" s="2">
        <v>-3.6309999999999998</v>
      </c>
      <c r="AA79" s="1">
        <v>39262</v>
      </c>
      <c r="AB79" s="2">
        <v>308.18700000000001</v>
      </c>
      <c r="AC79" s="1">
        <v>38898</v>
      </c>
      <c r="AD79" s="2">
        <v>295.00819999999999</v>
      </c>
      <c r="AE79" s="1">
        <v>39262</v>
      </c>
      <c r="AF79" s="2">
        <v>176.7672</v>
      </c>
      <c r="AG79" s="1">
        <v>39262</v>
      </c>
      <c r="AH79" s="2">
        <v>351.72250000000003</v>
      </c>
      <c r="AI79" s="1">
        <v>39262</v>
      </c>
      <c r="AJ79" s="2">
        <v>240.084</v>
      </c>
      <c r="AK79" s="1">
        <v>38898</v>
      </c>
      <c r="AL79" s="2">
        <v>2939.19</v>
      </c>
      <c r="AM79" s="1">
        <v>38898</v>
      </c>
      <c r="AN79" s="2">
        <v>739.28</v>
      </c>
      <c r="AO79" s="1">
        <v>38898</v>
      </c>
      <c r="AP79" s="2">
        <v>1477.81</v>
      </c>
      <c r="AQ79" s="1">
        <v>38898</v>
      </c>
      <c r="AR79" s="2">
        <v>852.06</v>
      </c>
      <c r="AS79" s="1">
        <v>38898</v>
      </c>
      <c r="AT79" s="2">
        <v>5109.25</v>
      </c>
      <c r="AU79" s="1">
        <v>38898</v>
      </c>
      <c r="AV79" s="2">
        <v>2101.33</v>
      </c>
      <c r="AW79" s="1">
        <v>40359</v>
      </c>
      <c r="AX79" s="2">
        <v>2307.1</v>
      </c>
      <c r="AY79" s="1">
        <v>40298</v>
      </c>
      <c r="AZ79" s="2">
        <v>94.28</v>
      </c>
      <c r="BA79" s="1">
        <v>43980</v>
      </c>
      <c r="BB79" s="2">
        <v>1413.55</v>
      </c>
      <c r="BC79" s="1">
        <v>38898</v>
      </c>
      <c r="BD79" s="2">
        <v>0.88</v>
      </c>
      <c r="BE79" s="1">
        <v>38898</v>
      </c>
      <c r="BF79" s="2">
        <v>3.2669999999999999</v>
      </c>
      <c r="BG79" s="1">
        <v>38898</v>
      </c>
      <c r="BH79" s="2">
        <v>16.853000000000002</v>
      </c>
      <c r="BI79" s="1">
        <v>38898</v>
      </c>
      <c r="BJ79" s="2">
        <v>8.0779999999999994</v>
      </c>
      <c r="BK79" s="1">
        <v>38898</v>
      </c>
      <c r="BL79" s="2">
        <v>637.41759999999999</v>
      </c>
      <c r="BM79" s="1">
        <v>40421</v>
      </c>
      <c r="BN79" s="2">
        <v>1231.646</v>
      </c>
      <c r="BO79" s="1">
        <v>40512</v>
      </c>
      <c r="BP79" s="2">
        <v>169.48</v>
      </c>
    </row>
    <row r="80" spans="1:68" x14ac:dyDescent="0.25">
      <c r="A80" s="1">
        <v>38929</v>
      </c>
      <c r="B80" s="2">
        <v>1637.5309999999999</v>
      </c>
      <c r="C80" s="1">
        <v>38929</v>
      </c>
      <c r="D80" s="2">
        <v>204.3861</v>
      </c>
      <c r="E80" s="1">
        <v>38929</v>
      </c>
      <c r="F80" s="2">
        <v>186.405</v>
      </c>
      <c r="G80" s="1">
        <v>38929</v>
      </c>
      <c r="H80" s="2">
        <v>206.54400000000001</v>
      </c>
      <c r="I80" s="1">
        <v>38960</v>
      </c>
      <c r="J80" s="2">
        <v>119.92140000000001</v>
      </c>
      <c r="K80" s="1">
        <v>38929</v>
      </c>
      <c r="L80" s="2">
        <v>128.61089999999999</v>
      </c>
      <c r="M80" s="1">
        <v>38929</v>
      </c>
      <c r="N80" s="2">
        <v>122.2696</v>
      </c>
      <c r="O80" s="1">
        <v>38960</v>
      </c>
      <c r="P80" s="2">
        <v>109.608</v>
      </c>
      <c r="Q80" s="1">
        <v>38929</v>
      </c>
      <c r="R80" s="2">
        <v>140.0711</v>
      </c>
      <c r="S80" s="1">
        <v>38929</v>
      </c>
      <c r="T80" s="2">
        <v>314.96109999999999</v>
      </c>
      <c r="U80" s="1">
        <v>38929</v>
      </c>
      <c r="V80" s="2">
        <v>215.3656</v>
      </c>
      <c r="W80" s="1">
        <v>38929</v>
      </c>
      <c r="X80" s="2">
        <v>1288.08</v>
      </c>
      <c r="Y80" s="1">
        <v>38929</v>
      </c>
      <c r="Z80" s="2">
        <v>2.4169999999999998</v>
      </c>
      <c r="AA80" s="1">
        <v>39294</v>
      </c>
      <c r="AB80" s="2">
        <v>320.28829999999999</v>
      </c>
      <c r="AC80" s="1">
        <v>38929</v>
      </c>
      <c r="AD80" s="2">
        <v>303.9153</v>
      </c>
      <c r="AE80" s="1">
        <v>39294</v>
      </c>
      <c r="AF80" s="2">
        <v>181.63390000000001</v>
      </c>
      <c r="AG80" s="1">
        <v>39294</v>
      </c>
      <c r="AH80" s="2">
        <v>365.97629999999998</v>
      </c>
      <c r="AI80" s="1">
        <v>39294</v>
      </c>
      <c r="AJ80" s="2">
        <v>248.04750000000001</v>
      </c>
      <c r="AK80" s="1">
        <v>38929</v>
      </c>
      <c r="AL80" s="2">
        <v>2957.53</v>
      </c>
      <c r="AM80" s="1">
        <v>38929</v>
      </c>
      <c r="AN80" s="2">
        <v>747.72</v>
      </c>
      <c r="AO80" s="1">
        <v>38929</v>
      </c>
      <c r="AP80" s="2">
        <v>1510.88</v>
      </c>
      <c r="AQ80" s="1">
        <v>38929</v>
      </c>
      <c r="AR80" s="2">
        <v>848.22</v>
      </c>
      <c r="AS80" s="1">
        <v>38929</v>
      </c>
      <c r="AT80" s="2">
        <v>5212.4799999999996</v>
      </c>
      <c r="AU80" s="1">
        <v>38929</v>
      </c>
      <c r="AV80" s="2">
        <v>2084.29</v>
      </c>
      <c r="AW80" s="1">
        <v>40389</v>
      </c>
      <c r="AX80" s="2">
        <v>2417.6999999999998</v>
      </c>
      <c r="AY80" s="1">
        <v>40329</v>
      </c>
      <c r="AZ80" s="2">
        <v>81.63</v>
      </c>
      <c r="BA80" s="1">
        <v>44012</v>
      </c>
      <c r="BB80" s="2">
        <v>1425.3</v>
      </c>
      <c r="BC80" s="1">
        <v>38929</v>
      </c>
      <c r="BD80" s="2">
        <v>0.88</v>
      </c>
      <c r="BE80" s="1">
        <v>38929</v>
      </c>
      <c r="BF80" s="2">
        <v>7.1619999999999999</v>
      </c>
      <c r="BG80" s="1">
        <v>38929</v>
      </c>
      <c r="BH80" s="2">
        <v>-8.5389999999999997</v>
      </c>
      <c r="BI80" s="1">
        <v>38929</v>
      </c>
      <c r="BJ80" s="2">
        <v>15.686</v>
      </c>
      <c r="BK80" s="1">
        <v>38929</v>
      </c>
      <c r="BL80" s="2">
        <v>642.52739999999994</v>
      </c>
      <c r="BM80" s="1">
        <v>40451</v>
      </c>
      <c r="BN80" s="2">
        <v>1361.1659999999999</v>
      </c>
      <c r="BO80" s="1">
        <v>40543</v>
      </c>
      <c r="BP80" s="2">
        <v>180.04</v>
      </c>
    </row>
    <row r="81" spans="1:68" x14ac:dyDescent="0.25">
      <c r="A81" s="1">
        <v>38960</v>
      </c>
      <c r="B81" s="2">
        <v>1651.991</v>
      </c>
      <c r="C81" s="1">
        <v>38960</v>
      </c>
      <c r="D81" s="2">
        <v>209.60390000000001</v>
      </c>
      <c r="E81" s="1">
        <v>38960</v>
      </c>
      <c r="F81" s="2">
        <v>192.73500000000001</v>
      </c>
      <c r="G81" s="1">
        <v>38960</v>
      </c>
      <c r="H81" s="2">
        <v>207.2954</v>
      </c>
      <c r="I81" s="1">
        <v>38989</v>
      </c>
      <c r="J81" s="2">
        <v>120.3916</v>
      </c>
      <c r="K81" s="1">
        <v>38960</v>
      </c>
      <c r="L81" s="2">
        <v>128.98869999999999</v>
      </c>
      <c r="M81" s="1">
        <v>38960</v>
      </c>
      <c r="N81" s="2">
        <v>121.0022</v>
      </c>
      <c r="O81" s="1">
        <v>38989</v>
      </c>
      <c r="P81" s="2">
        <v>110.377</v>
      </c>
      <c r="Q81" s="1">
        <v>38960</v>
      </c>
      <c r="R81" s="2">
        <v>140.48759999999999</v>
      </c>
      <c r="S81" s="1">
        <v>38960</v>
      </c>
      <c r="T81" s="2">
        <v>319.67349999999999</v>
      </c>
      <c r="U81" s="1">
        <v>38960</v>
      </c>
      <c r="V81" s="2">
        <v>219.9041</v>
      </c>
      <c r="W81" s="1">
        <v>38960</v>
      </c>
      <c r="X81" s="2">
        <v>1306.8</v>
      </c>
      <c r="Y81" s="1">
        <v>38960</v>
      </c>
      <c r="Z81" s="2">
        <v>-5.2880000000000003</v>
      </c>
      <c r="AA81" s="1">
        <v>39325</v>
      </c>
      <c r="AB81" s="2">
        <v>312.24810000000002</v>
      </c>
      <c r="AC81" s="1">
        <v>38960</v>
      </c>
      <c r="AD81" s="2">
        <v>296.17099999999999</v>
      </c>
      <c r="AE81" s="1">
        <v>39325</v>
      </c>
      <c r="AF81" s="2">
        <v>184.9836</v>
      </c>
      <c r="AG81" s="1">
        <v>39325</v>
      </c>
      <c r="AH81" s="2">
        <v>347.24650000000003</v>
      </c>
      <c r="AI81" s="1">
        <v>39325</v>
      </c>
      <c r="AJ81" s="2">
        <v>245.04679999999999</v>
      </c>
      <c r="AK81" s="1">
        <v>38960</v>
      </c>
      <c r="AL81" s="2">
        <v>3034.3</v>
      </c>
      <c r="AM81" s="1">
        <v>38960</v>
      </c>
      <c r="AN81" s="2">
        <v>762.72</v>
      </c>
      <c r="AO81" s="1">
        <v>38960</v>
      </c>
      <c r="AP81" s="2">
        <v>1553.12</v>
      </c>
      <c r="AQ81" s="1">
        <v>38960</v>
      </c>
      <c r="AR81" s="2">
        <v>850.87</v>
      </c>
      <c r="AS81" s="1">
        <v>38960</v>
      </c>
      <c r="AT81" s="2">
        <v>5344.82</v>
      </c>
      <c r="AU81" s="1">
        <v>38960</v>
      </c>
      <c r="AV81" s="2">
        <v>2139.63</v>
      </c>
      <c r="AW81" s="1">
        <v>40421</v>
      </c>
      <c r="AX81" s="2">
        <v>2478.84</v>
      </c>
      <c r="AY81" s="1">
        <v>40359</v>
      </c>
      <c r="AZ81" s="2">
        <v>76.040000000000006</v>
      </c>
      <c r="BA81" s="1">
        <v>44043</v>
      </c>
      <c r="BB81" s="2">
        <v>1465.5</v>
      </c>
      <c r="BC81" s="1">
        <v>38960</v>
      </c>
      <c r="BD81" s="2">
        <v>0.87</v>
      </c>
      <c r="BE81" s="1">
        <v>38960</v>
      </c>
      <c r="BF81" s="2">
        <v>3.907</v>
      </c>
      <c r="BG81" s="1">
        <v>38960</v>
      </c>
      <c r="BH81" s="2">
        <v>-31.395</v>
      </c>
      <c r="BI81" s="1">
        <v>38960</v>
      </c>
      <c r="BJ81" s="2">
        <v>18.846</v>
      </c>
      <c r="BK81" s="1">
        <v>38960</v>
      </c>
      <c r="BL81" s="2">
        <v>648.47519999999997</v>
      </c>
      <c r="BM81" s="1">
        <v>40480</v>
      </c>
      <c r="BN81" s="2">
        <v>1418.809</v>
      </c>
      <c r="BO81" s="1">
        <v>40574</v>
      </c>
      <c r="BP81" s="2">
        <v>183.83</v>
      </c>
    </row>
    <row r="82" spans="1:68" x14ac:dyDescent="0.25">
      <c r="A82" s="1">
        <v>38989</v>
      </c>
      <c r="B82" s="2">
        <v>1647.902</v>
      </c>
      <c r="C82" s="1">
        <v>38989</v>
      </c>
      <c r="D82" s="2">
        <v>209.09399999999999</v>
      </c>
      <c r="E82" s="1">
        <v>38989</v>
      </c>
      <c r="F82" s="2">
        <v>193.69499999999999</v>
      </c>
      <c r="G82" s="1">
        <v>38989</v>
      </c>
      <c r="H82" s="2">
        <v>204.31569999999999</v>
      </c>
      <c r="I82" s="1">
        <v>39021</v>
      </c>
      <c r="J82" s="2">
        <v>120.9644</v>
      </c>
      <c r="K82" s="1">
        <v>38989</v>
      </c>
      <c r="L82" s="2">
        <v>130.0829</v>
      </c>
      <c r="M82" s="1">
        <v>38989</v>
      </c>
      <c r="N82" s="2">
        <v>120.7084</v>
      </c>
      <c r="O82" s="1">
        <v>39021</v>
      </c>
      <c r="P82" s="2">
        <v>111.3086</v>
      </c>
      <c r="Q82" s="1">
        <v>38989</v>
      </c>
      <c r="R82" s="2">
        <v>140.49850000000001</v>
      </c>
      <c r="S82" s="1">
        <v>38989</v>
      </c>
      <c r="T82" s="2">
        <v>321.9735</v>
      </c>
      <c r="U82" s="1">
        <v>38989</v>
      </c>
      <c r="V82" s="2">
        <v>218.0891</v>
      </c>
      <c r="W82" s="1">
        <v>38989</v>
      </c>
      <c r="X82" s="2">
        <v>1315.94</v>
      </c>
      <c r="Y82" s="1">
        <v>38989</v>
      </c>
      <c r="Z82" s="2">
        <v>-5.45</v>
      </c>
      <c r="AA82" s="1">
        <v>39353</v>
      </c>
      <c r="AB82" s="2">
        <v>338.22070000000002</v>
      </c>
      <c r="AC82" s="1">
        <v>38989</v>
      </c>
      <c r="AD82" s="2">
        <v>278.98840000000001</v>
      </c>
      <c r="AE82" s="1">
        <v>39353</v>
      </c>
      <c r="AF82" s="2">
        <v>202.85550000000001</v>
      </c>
      <c r="AG82" s="1">
        <v>39353</v>
      </c>
      <c r="AH82" s="2">
        <v>380.02170000000001</v>
      </c>
      <c r="AI82" s="1">
        <v>39353</v>
      </c>
      <c r="AJ82" s="2">
        <v>272.51330000000002</v>
      </c>
      <c r="AK82" s="1">
        <v>38989</v>
      </c>
      <c r="AL82" s="2">
        <v>3070.48</v>
      </c>
      <c r="AM82" s="1">
        <v>38989</v>
      </c>
      <c r="AN82" s="2">
        <v>764.59</v>
      </c>
      <c r="AO82" s="1">
        <v>38989</v>
      </c>
      <c r="AP82" s="2">
        <v>1567.92</v>
      </c>
      <c r="AQ82" s="1">
        <v>38989</v>
      </c>
      <c r="AR82" s="2">
        <v>845.49</v>
      </c>
      <c r="AS82" s="1">
        <v>38989</v>
      </c>
      <c r="AT82" s="2">
        <v>5424.32</v>
      </c>
      <c r="AU82" s="1">
        <v>38989</v>
      </c>
      <c r="AV82" s="2">
        <v>2158.4899999999998</v>
      </c>
      <c r="AW82" s="1">
        <v>40451</v>
      </c>
      <c r="AX82" s="2">
        <v>2603.5100000000002</v>
      </c>
      <c r="AY82" s="1">
        <v>40389</v>
      </c>
      <c r="AZ82" s="2">
        <v>84.29</v>
      </c>
      <c r="BA82" s="1">
        <v>44074</v>
      </c>
      <c r="BB82" s="2">
        <v>1485.21</v>
      </c>
      <c r="BC82" s="1">
        <v>38989</v>
      </c>
      <c r="BD82" s="2">
        <v>0.87</v>
      </c>
      <c r="BE82" s="1">
        <v>38989</v>
      </c>
      <c r="BF82" s="2">
        <v>4.9249999999999998</v>
      </c>
      <c r="BG82" s="1">
        <v>38989</v>
      </c>
      <c r="BH82" s="2">
        <v>-24.893000000000001</v>
      </c>
      <c r="BI82" s="1">
        <v>38989</v>
      </c>
      <c r="BJ82" s="2">
        <v>18.146000000000001</v>
      </c>
      <c r="BK82" s="1">
        <v>38989</v>
      </c>
      <c r="BL82" s="2">
        <v>646.62609999999995</v>
      </c>
      <c r="BM82" s="1">
        <v>40512</v>
      </c>
      <c r="BN82" s="2">
        <v>1403.864</v>
      </c>
      <c r="BO82" s="1">
        <v>40602</v>
      </c>
      <c r="BP82" s="2">
        <v>185.68</v>
      </c>
    </row>
    <row r="83" spans="1:68" x14ac:dyDescent="0.25">
      <c r="A83" s="1">
        <v>39021</v>
      </c>
      <c r="B83" s="2">
        <v>1675.98</v>
      </c>
      <c r="C83" s="1">
        <v>39021</v>
      </c>
      <c r="D83" s="2">
        <v>213.0086</v>
      </c>
      <c r="E83" s="1">
        <v>39021</v>
      </c>
      <c r="F83" s="2">
        <v>196.50299999999999</v>
      </c>
      <c r="G83" s="1">
        <v>39021</v>
      </c>
      <c r="H83" s="2">
        <v>211.34209999999999</v>
      </c>
      <c r="I83" s="1">
        <v>39051</v>
      </c>
      <c r="J83" s="2">
        <v>121.8039</v>
      </c>
      <c r="K83" s="1">
        <v>39021</v>
      </c>
      <c r="L83" s="2">
        <v>132.04740000000001</v>
      </c>
      <c r="M83" s="1">
        <v>39021</v>
      </c>
      <c r="N83" s="2">
        <v>119.3716</v>
      </c>
      <c r="O83" s="1">
        <v>39051</v>
      </c>
      <c r="P83" s="2">
        <v>111.7153</v>
      </c>
      <c r="Q83" s="1">
        <v>39021</v>
      </c>
      <c r="R83" s="2">
        <v>140.82050000000001</v>
      </c>
      <c r="S83" s="1">
        <v>39021</v>
      </c>
      <c r="T83" s="2">
        <v>323.69869999999997</v>
      </c>
      <c r="U83" s="1">
        <v>39021</v>
      </c>
      <c r="V83" s="2">
        <v>220.86879999999999</v>
      </c>
      <c r="W83" s="1">
        <v>39021</v>
      </c>
      <c r="X83" s="2">
        <v>1325.48</v>
      </c>
      <c r="Y83" s="1">
        <v>39021</v>
      </c>
      <c r="Z83" s="2">
        <v>-9.3629999999999995</v>
      </c>
      <c r="AA83" s="1">
        <v>39386</v>
      </c>
      <c r="AB83" s="2">
        <v>353.35649999999998</v>
      </c>
      <c r="AC83" s="1">
        <v>39021</v>
      </c>
      <c r="AD83" s="2">
        <v>291.45269999999999</v>
      </c>
      <c r="AE83" s="1">
        <v>39386</v>
      </c>
      <c r="AF83" s="2">
        <v>198.8844</v>
      </c>
      <c r="AG83" s="1">
        <v>39386</v>
      </c>
      <c r="AH83" s="2">
        <v>433.01130000000001</v>
      </c>
      <c r="AI83" s="1">
        <v>39386</v>
      </c>
      <c r="AJ83" s="2">
        <v>288.42489999999998</v>
      </c>
      <c r="AK83" s="1">
        <v>39021</v>
      </c>
      <c r="AL83" s="2">
        <v>3183.17</v>
      </c>
      <c r="AM83" s="1">
        <v>39021</v>
      </c>
      <c r="AN83" s="2">
        <v>797.38</v>
      </c>
      <c r="AO83" s="1">
        <v>39021</v>
      </c>
      <c r="AP83" s="2">
        <v>1614.79</v>
      </c>
      <c r="AQ83" s="1">
        <v>39021</v>
      </c>
      <c r="AR83" s="2">
        <v>897.14</v>
      </c>
      <c r="AS83" s="1">
        <v>39021</v>
      </c>
      <c r="AT83" s="2">
        <v>5628.99</v>
      </c>
      <c r="AU83" s="1">
        <v>39021</v>
      </c>
      <c r="AV83" s="2">
        <v>2235.36</v>
      </c>
      <c r="AW83" s="1">
        <v>40480</v>
      </c>
      <c r="AX83" s="2">
        <v>2670.37</v>
      </c>
      <c r="AY83" s="1">
        <v>40421</v>
      </c>
      <c r="AZ83" s="2">
        <v>79.66</v>
      </c>
      <c r="BA83" s="1">
        <v>44104</v>
      </c>
      <c r="BB83" s="2">
        <v>1450.79</v>
      </c>
      <c r="BC83" s="1">
        <v>39021</v>
      </c>
      <c r="BD83" s="2">
        <v>0.85</v>
      </c>
      <c r="BE83" s="1">
        <v>39021</v>
      </c>
      <c r="BF83" s="2">
        <v>3.7890000000000001</v>
      </c>
      <c r="BG83" s="1">
        <v>39021</v>
      </c>
      <c r="BH83" s="2">
        <v>-44.591999999999999</v>
      </c>
      <c r="BI83" s="1">
        <v>39021</v>
      </c>
      <c r="BJ83" s="2">
        <v>15.265000000000001</v>
      </c>
      <c r="BK83" s="1">
        <v>39021</v>
      </c>
      <c r="BL83" s="2">
        <v>652.80119999999999</v>
      </c>
      <c r="BM83" s="1">
        <v>40543</v>
      </c>
      <c r="BN83" s="2">
        <v>1497.856</v>
      </c>
      <c r="BO83" s="1">
        <v>40633</v>
      </c>
      <c r="BP83" s="2">
        <v>181.23</v>
      </c>
    </row>
    <row r="84" spans="1:68" x14ac:dyDescent="0.25">
      <c r="A84" s="1">
        <v>39051</v>
      </c>
      <c r="B84" s="2">
        <v>1716.6210000000001</v>
      </c>
      <c r="C84" s="1">
        <v>39051</v>
      </c>
      <c r="D84" s="2">
        <v>209.3681</v>
      </c>
      <c r="E84" s="1">
        <v>39051</v>
      </c>
      <c r="F84" s="2">
        <v>193.273</v>
      </c>
      <c r="G84" s="1">
        <v>39051</v>
      </c>
      <c r="H84" s="2">
        <v>215.03190000000001</v>
      </c>
      <c r="I84" s="1">
        <v>39080</v>
      </c>
      <c r="J84" s="2">
        <v>122.3454</v>
      </c>
      <c r="K84" s="1">
        <v>39051</v>
      </c>
      <c r="L84" s="2">
        <v>133.62139999999999</v>
      </c>
      <c r="M84" s="1">
        <v>39051</v>
      </c>
      <c r="N84" s="2">
        <v>119.95959999999999</v>
      </c>
      <c r="O84" s="1">
        <v>39080</v>
      </c>
      <c r="P84" s="2">
        <v>111.90900000000001</v>
      </c>
      <c r="Q84" s="1">
        <v>39051</v>
      </c>
      <c r="R84" s="2">
        <v>142.13239999999999</v>
      </c>
      <c r="S84" s="1">
        <v>39051</v>
      </c>
      <c r="T84" s="2">
        <v>326.49979999999999</v>
      </c>
      <c r="U84" s="1">
        <v>39051</v>
      </c>
      <c r="V84" s="2">
        <v>227.0025</v>
      </c>
      <c r="W84" s="1">
        <v>39051</v>
      </c>
      <c r="X84" s="2">
        <v>1340.68</v>
      </c>
      <c r="Y84" s="1">
        <v>39051</v>
      </c>
      <c r="Z84" s="2">
        <v>-16.474</v>
      </c>
      <c r="AA84" s="1">
        <v>39416</v>
      </c>
      <c r="AB84" s="2">
        <v>346.80900000000003</v>
      </c>
      <c r="AC84" s="1">
        <v>39051</v>
      </c>
      <c r="AD84" s="2">
        <v>309.16109999999998</v>
      </c>
      <c r="AE84" s="1">
        <v>39416</v>
      </c>
      <c r="AF84" s="2">
        <v>207.31469999999999</v>
      </c>
      <c r="AG84" s="1">
        <v>39416</v>
      </c>
      <c r="AH84" s="2">
        <v>417.5489</v>
      </c>
      <c r="AI84" s="1">
        <v>39416</v>
      </c>
      <c r="AJ84" s="2">
        <v>283.60739999999998</v>
      </c>
      <c r="AK84" s="1">
        <v>39051</v>
      </c>
      <c r="AL84" s="2">
        <v>3261.12</v>
      </c>
      <c r="AM84" s="1">
        <v>39051</v>
      </c>
      <c r="AN84" s="2">
        <v>817.66</v>
      </c>
      <c r="AO84" s="1">
        <v>39051</v>
      </c>
      <c r="AP84" s="2">
        <v>1659.95</v>
      </c>
      <c r="AQ84" s="1">
        <v>39051</v>
      </c>
      <c r="AR84" s="2">
        <v>931.22</v>
      </c>
      <c r="AS84" s="1">
        <v>39051</v>
      </c>
      <c r="AT84" s="2">
        <v>5762.92</v>
      </c>
      <c r="AU84" s="1">
        <v>39051</v>
      </c>
      <c r="AV84" s="2">
        <v>2291.7600000000002</v>
      </c>
      <c r="AW84" s="1">
        <v>40512</v>
      </c>
      <c r="AX84" s="2">
        <v>2649.59</v>
      </c>
      <c r="AY84" s="1">
        <v>40451</v>
      </c>
      <c r="AZ84" s="2">
        <v>89.84</v>
      </c>
      <c r="BA84" s="1">
        <v>44134</v>
      </c>
      <c r="BB84" s="2">
        <v>1435.37</v>
      </c>
      <c r="BC84" s="1">
        <v>39051</v>
      </c>
      <c r="BD84" s="2">
        <v>0.82</v>
      </c>
      <c r="BE84" s="1">
        <v>39051</v>
      </c>
      <c r="BF84" s="2">
        <v>1.0469999999999999</v>
      </c>
      <c r="BG84" s="1">
        <v>39051</v>
      </c>
      <c r="BH84" s="2">
        <v>-55.319000000000003</v>
      </c>
      <c r="BI84" s="1">
        <v>39051</v>
      </c>
      <c r="BJ84" s="2">
        <v>11.175000000000001</v>
      </c>
      <c r="BK84" s="1">
        <v>39051</v>
      </c>
      <c r="BL84" s="2">
        <v>670.76480000000004</v>
      </c>
      <c r="BM84" s="1">
        <v>40574</v>
      </c>
      <c r="BN84" s="2">
        <v>1514.366</v>
      </c>
      <c r="BO84" s="1">
        <v>40662</v>
      </c>
      <c r="BP84" s="2">
        <v>192.05</v>
      </c>
    </row>
    <row r="85" spans="1:68" x14ac:dyDescent="0.25">
      <c r="A85" s="1">
        <v>39080</v>
      </c>
      <c r="B85" s="2">
        <v>1763.8610000000001</v>
      </c>
      <c r="C85" s="1">
        <v>39080</v>
      </c>
      <c r="D85" s="2">
        <v>215.4511</v>
      </c>
      <c r="E85" s="1">
        <v>39080</v>
      </c>
      <c r="F85" s="2">
        <v>198.786</v>
      </c>
      <c r="G85" s="1">
        <v>39080</v>
      </c>
      <c r="H85" s="2">
        <v>218.74029999999999</v>
      </c>
      <c r="I85" s="1">
        <v>39113</v>
      </c>
      <c r="J85" s="2">
        <v>122.2457</v>
      </c>
      <c r="K85" s="1">
        <v>39080</v>
      </c>
      <c r="L85" s="2">
        <v>136.5472</v>
      </c>
      <c r="M85" s="1">
        <v>39080</v>
      </c>
      <c r="N85" s="2">
        <v>118.7405</v>
      </c>
      <c r="O85" s="1">
        <v>39113</v>
      </c>
      <c r="P85" s="2">
        <v>111.7225</v>
      </c>
      <c r="Q85" s="1">
        <v>39080</v>
      </c>
      <c r="R85" s="2">
        <v>142.85249999999999</v>
      </c>
      <c r="S85" s="1">
        <v>39080</v>
      </c>
      <c r="T85" s="2">
        <v>324.94040000000001</v>
      </c>
      <c r="U85" s="1">
        <v>39080</v>
      </c>
      <c r="V85" s="2">
        <v>221.6737</v>
      </c>
      <c r="W85" s="1">
        <v>39080</v>
      </c>
      <c r="X85" s="2">
        <v>1336.99</v>
      </c>
      <c r="Y85" s="1">
        <v>39080</v>
      </c>
      <c r="Z85" s="2">
        <v>-11.67</v>
      </c>
      <c r="AA85" s="1">
        <v>39447</v>
      </c>
      <c r="AB85" s="2">
        <v>360.99009999999998</v>
      </c>
      <c r="AC85" s="1">
        <v>39080</v>
      </c>
      <c r="AD85" s="2">
        <v>296.58319999999998</v>
      </c>
      <c r="AE85" s="1">
        <v>39447</v>
      </c>
      <c r="AF85" s="2">
        <v>220.77510000000001</v>
      </c>
      <c r="AG85" s="1">
        <v>39447</v>
      </c>
      <c r="AH85" s="2">
        <v>450.58409999999998</v>
      </c>
      <c r="AI85" s="1">
        <v>39447</v>
      </c>
      <c r="AJ85" s="2">
        <v>301.41719999999998</v>
      </c>
      <c r="AK85" s="1">
        <v>39080</v>
      </c>
      <c r="AL85" s="2">
        <v>3327.43</v>
      </c>
      <c r="AM85" s="1">
        <v>39080</v>
      </c>
      <c r="AN85" s="2">
        <v>824.29</v>
      </c>
      <c r="AO85" s="1">
        <v>39080</v>
      </c>
      <c r="AP85" s="2">
        <v>1701.33</v>
      </c>
      <c r="AQ85" s="1">
        <v>39080</v>
      </c>
      <c r="AR85" s="2">
        <v>962.21</v>
      </c>
      <c r="AS85" s="1">
        <v>39080</v>
      </c>
      <c r="AT85" s="2">
        <v>5921.94</v>
      </c>
      <c r="AU85" s="1">
        <v>39080</v>
      </c>
      <c r="AV85" s="2">
        <v>2321.67</v>
      </c>
      <c r="AW85" s="1">
        <v>40543</v>
      </c>
      <c r="AX85" s="2">
        <v>2741.36</v>
      </c>
      <c r="AY85" s="1">
        <v>40480</v>
      </c>
      <c r="AZ85" s="2">
        <v>95.85</v>
      </c>
      <c r="BA85" s="1">
        <v>44165</v>
      </c>
      <c r="BB85" s="2">
        <v>1565.44</v>
      </c>
      <c r="BC85" s="1">
        <v>39080</v>
      </c>
      <c r="BD85" s="2">
        <v>0.81</v>
      </c>
      <c r="BE85" s="1">
        <v>39080</v>
      </c>
      <c r="BF85" s="2">
        <v>1.0249999999999999</v>
      </c>
      <c r="BG85" s="1">
        <v>39080</v>
      </c>
      <c r="BH85" s="2">
        <v>-28.414999999999999</v>
      </c>
      <c r="BI85" s="1">
        <v>39080</v>
      </c>
      <c r="BJ85" s="2">
        <v>11.731</v>
      </c>
      <c r="BK85" s="1">
        <v>39080</v>
      </c>
      <c r="BL85" s="2">
        <v>658.2962</v>
      </c>
      <c r="BM85" s="1">
        <v>40602</v>
      </c>
      <c r="BN85" s="2">
        <v>1561.114</v>
      </c>
      <c r="BO85" s="1">
        <v>40694</v>
      </c>
      <c r="BP85" s="2">
        <v>193.16</v>
      </c>
    </row>
    <row r="86" spans="1:68" x14ac:dyDescent="0.25">
      <c r="A86" s="1">
        <v>39113</v>
      </c>
      <c r="B86" s="2">
        <v>1794.0329999999999</v>
      </c>
      <c r="C86" s="1">
        <v>39113</v>
      </c>
      <c r="D86" s="2">
        <v>217.6789</v>
      </c>
      <c r="E86" s="1">
        <v>39113</v>
      </c>
      <c r="F86" s="2">
        <v>201.50200000000001</v>
      </c>
      <c r="G86" s="1">
        <v>39113</v>
      </c>
      <c r="H86" s="2">
        <v>216.66210000000001</v>
      </c>
      <c r="I86" s="1">
        <v>39141</v>
      </c>
      <c r="J86" s="2">
        <v>121.9906</v>
      </c>
      <c r="K86" s="1">
        <v>39113</v>
      </c>
      <c r="L86" s="2">
        <v>137.16</v>
      </c>
      <c r="M86" s="1">
        <v>39113</v>
      </c>
      <c r="N86" s="2">
        <v>119.3124</v>
      </c>
      <c r="O86" s="1">
        <v>39141</v>
      </c>
      <c r="P86" s="2">
        <v>111.8476</v>
      </c>
      <c r="Q86" s="1">
        <v>39113</v>
      </c>
      <c r="R86" s="2">
        <v>141.70419999999999</v>
      </c>
      <c r="S86" s="1">
        <v>39113</v>
      </c>
      <c r="T86" s="2">
        <v>324.81060000000002</v>
      </c>
      <c r="U86" s="1">
        <v>39113</v>
      </c>
      <c r="V86" s="2">
        <v>218.92070000000001</v>
      </c>
      <c r="W86" s="1">
        <v>39113</v>
      </c>
      <c r="X86" s="2">
        <v>1337.85</v>
      </c>
      <c r="Y86" s="1">
        <v>39113</v>
      </c>
      <c r="Z86" s="2">
        <v>-10.847</v>
      </c>
      <c r="AA86" s="1">
        <v>39478</v>
      </c>
      <c r="AB86" s="2">
        <v>379.04180000000002</v>
      </c>
      <c r="AC86" s="1">
        <v>39113</v>
      </c>
      <c r="AD86" s="2">
        <v>295.9024</v>
      </c>
      <c r="AE86" s="1">
        <v>39478</v>
      </c>
      <c r="AF86" s="2">
        <v>235.87289999999999</v>
      </c>
      <c r="AG86" s="1">
        <v>39478</v>
      </c>
      <c r="AH86" s="2">
        <v>442.48970000000003</v>
      </c>
      <c r="AI86" s="1">
        <v>39478</v>
      </c>
      <c r="AJ86" s="2">
        <v>334.21960000000001</v>
      </c>
      <c r="AK86" s="1">
        <v>39113</v>
      </c>
      <c r="AL86" s="2">
        <v>3366.71</v>
      </c>
      <c r="AM86" s="1">
        <v>39113</v>
      </c>
      <c r="AN86" s="2">
        <v>825.87</v>
      </c>
      <c r="AO86" s="1">
        <v>39113</v>
      </c>
      <c r="AP86" s="2">
        <v>1725.52</v>
      </c>
      <c r="AQ86" s="1">
        <v>39113</v>
      </c>
      <c r="AR86" s="2">
        <v>978.19</v>
      </c>
      <c r="AS86" s="1">
        <v>39113</v>
      </c>
      <c r="AT86" s="2">
        <v>5968.5</v>
      </c>
      <c r="AU86" s="1">
        <v>39113</v>
      </c>
      <c r="AV86" s="2">
        <v>2358.38</v>
      </c>
      <c r="AW86" s="1">
        <v>40574</v>
      </c>
      <c r="AX86" s="2">
        <v>2759.5</v>
      </c>
      <c r="AY86" s="1">
        <v>40512</v>
      </c>
      <c r="AZ86" s="2">
        <v>93.68</v>
      </c>
      <c r="BA86" s="1">
        <v>44196</v>
      </c>
      <c r="BB86" s="2">
        <v>1625.25</v>
      </c>
      <c r="BC86" s="1">
        <v>39113</v>
      </c>
      <c r="BD86" s="2">
        <v>0.79</v>
      </c>
      <c r="BE86" s="1">
        <v>39113</v>
      </c>
      <c r="BF86" s="2">
        <v>0.66400000000000003</v>
      </c>
      <c r="BG86" s="1">
        <v>39113</v>
      </c>
      <c r="BH86" s="2">
        <v>-29.431000000000001</v>
      </c>
      <c r="BI86" s="1">
        <v>39113</v>
      </c>
      <c r="BJ86" s="2">
        <v>10.587999999999999</v>
      </c>
      <c r="BK86" s="1">
        <v>39113</v>
      </c>
      <c r="BL86" s="2">
        <v>649.37009999999998</v>
      </c>
      <c r="BM86" s="1">
        <v>40633</v>
      </c>
      <c r="BN86" s="2">
        <v>1553.4469999999999</v>
      </c>
      <c r="BO86" s="1">
        <v>40724</v>
      </c>
      <c r="BP86" s="2">
        <v>190.97</v>
      </c>
    </row>
    <row r="87" spans="1:68" x14ac:dyDescent="0.25">
      <c r="A87" s="1">
        <v>39141</v>
      </c>
      <c r="B87" s="2">
        <v>1722.172</v>
      </c>
      <c r="C87" s="1">
        <v>39141</v>
      </c>
      <c r="D87" s="2">
        <v>218.30940000000001</v>
      </c>
      <c r="E87" s="1">
        <v>39141</v>
      </c>
      <c r="F87" s="2">
        <v>202.40700000000001</v>
      </c>
      <c r="G87" s="1">
        <v>39141</v>
      </c>
      <c r="H87" s="2">
        <v>217.8058</v>
      </c>
      <c r="I87" s="1">
        <v>39171</v>
      </c>
      <c r="J87" s="2">
        <v>122.093</v>
      </c>
      <c r="K87" s="1">
        <v>39141</v>
      </c>
      <c r="L87" s="2">
        <v>135.65260000000001</v>
      </c>
      <c r="M87" s="1">
        <v>39141</v>
      </c>
      <c r="N87" s="2">
        <v>118.4198</v>
      </c>
      <c r="O87" s="1">
        <v>39171</v>
      </c>
      <c r="P87" s="2">
        <v>111.4331</v>
      </c>
      <c r="Q87" s="1">
        <v>39141</v>
      </c>
      <c r="R87" s="2">
        <v>142.2724</v>
      </c>
      <c r="S87" s="1">
        <v>39141</v>
      </c>
      <c r="T87" s="2">
        <v>328.88799999999998</v>
      </c>
      <c r="U87" s="1">
        <v>39141</v>
      </c>
      <c r="V87" s="2">
        <v>223.86699999999999</v>
      </c>
      <c r="W87" s="1">
        <v>39141</v>
      </c>
      <c r="X87" s="2">
        <v>1354.35</v>
      </c>
      <c r="Y87" s="1">
        <v>39141</v>
      </c>
      <c r="Z87" s="2">
        <v>-7.5709999999999997</v>
      </c>
      <c r="AA87" s="1">
        <v>39507</v>
      </c>
      <c r="AB87" s="2">
        <v>423.31979999999999</v>
      </c>
      <c r="AC87" s="1">
        <v>39141</v>
      </c>
      <c r="AD87" s="2">
        <v>306.95460000000003</v>
      </c>
      <c r="AE87" s="1">
        <v>39507</v>
      </c>
      <c r="AF87" s="2">
        <v>262.90440000000001</v>
      </c>
      <c r="AG87" s="1">
        <v>39507</v>
      </c>
      <c r="AH87" s="2">
        <v>490.77730000000003</v>
      </c>
      <c r="AI87" s="1">
        <v>39507</v>
      </c>
      <c r="AJ87" s="2">
        <v>361.0172</v>
      </c>
      <c r="AK87" s="1">
        <v>39141</v>
      </c>
      <c r="AL87" s="2">
        <v>3349.19</v>
      </c>
      <c r="AM87" s="1">
        <v>39141</v>
      </c>
      <c r="AN87" s="2">
        <v>812.9</v>
      </c>
      <c r="AO87" s="1">
        <v>39141</v>
      </c>
      <c r="AP87" s="2">
        <v>1722.03</v>
      </c>
      <c r="AQ87" s="1">
        <v>39141</v>
      </c>
      <c r="AR87" s="2">
        <v>975.86</v>
      </c>
      <c r="AS87" s="1">
        <v>39141</v>
      </c>
      <c r="AT87" s="2">
        <v>5943.87</v>
      </c>
      <c r="AU87" s="1">
        <v>39141</v>
      </c>
      <c r="AV87" s="2">
        <v>2343.54</v>
      </c>
      <c r="AW87" s="1">
        <v>40602</v>
      </c>
      <c r="AX87" s="2">
        <v>2839.95</v>
      </c>
      <c r="AY87" s="1">
        <v>40543</v>
      </c>
      <c r="AZ87" s="2">
        <v>101.81</v>
      </c>
      <c r="BA87" s="1">
        <v>44225</v>
      </c>
      <c r="BB87" s="2">
        <v>1652.21</v>
      </c>
      <c r="BC87" s="1">
        <v>39141</v>
      </c>
      <c r="BD87" s="2">
        <v>0.78</v>
      </c>
      <c r="BE87" s="1">
        <v>39141</v>
      </c>
      <c r="BF87" s="2">
        <v>4.641</v>
      </c>
      <c r="BG87" s="1">
        <v>39141</v>
      </c>
      <c r="BH87" s="2">
        <v>-56.572000000000003</v>
      </c>
      <c r="BI87" s="1">
        <v>39141</v>
      </c>
      <c r="BJ87" s="2">
        <v>15.916</v>
      </c>
      <c r="BK87" s="1">
        <v>39141</v>
      </c>
      <c r="BL87" s="2">
        <v>664.41369999999995</v>
      </c>
      <c r="BM87" s="1">
        <v>40662</v>
      </c>
      <c r="BN87" s="2">
        <v>1621.0650000000001</v>
      </c>
      <c r="BO87" s="1">
        <v>40753</v>
      </c>
      <c r="BP87" s="2">
        <v>185.28</v>
      </c>
    </row>
    <row r="88" spans="1:68" x14ac:dyDescent="0.25">
      <c r="A88" s="1">
        <v>39171</v>
      </c>
      <c r="B88" s="2">
        <v>1682.183</v>
      </c>
      <c r="C88" s="1">
        <v>39171</v>
      </c>
      <c r="D88" s="2">
        <v>221.2124</v>
      </c>
      <c r="E88" s="1">
        <v>39171</v>
      </c>
      <c r="F88" s="2">
        <v>205.58199999999999</v>
      </c>
      <c r="G88" s="1">
        <v>39171</v>
      </c>
      <c r="H88" s="2">
        <v>222.07490000000001</v>
      </c>
      <c r="I88" s="1">
        <v>39202</v>
      </c>
      <c r="J88" s="2">
        <v>123.1027</v>
      </c>
      <c r="K88" s="1">
        <v>39171</v>
      </c>
      <c r="L88" s="2">
        <v>136.06229999999999</v>
      </c>
      <c r="M88" s="1">
        <v>39171</v>
      </c>
      <c r="N88" s="2">
        <v>118.2933</v>
      </c>
      <c r="O88" s="1">
        <v>39202</v>
      </c>
      <c r="P88" s="2">
        <v>111.10169999999999</v>
      </c>
      <c r="Q88" s="1">
        <v>39171</v>
      </c>
      <c r="R88" s="2">
        <v>143.38470000000001</v>
      </c>
      <c r="S88" s="1">
        <v>39171</v>
      </c>
      <c r="T88" s="2">
        <v>328.76139999999998</v>
      </c>
      <c r="U88" s="1">
        <v>39171</v>
      </c>
      <c r="V88" s="2">
        <v>223.64750000000001</v>
      </c>
      <c r="W88" s="1">
        <v>39171</v>
      </c>
      <c r="X88" s="2">
        <v>1357.92</v>
      </c>
      <c r="Y88" s="1">
        <v>39171</v>
      </c>
      <c r="Z88" s="2">
        <v>3.0960000000000001</v>
      </c>
      <c r="AA88" s="1">
        <v>39538</v>
      </c>
      <c r="AB88" s="2">
        <v>397.18040000000002</v>
      </c>
      <c r="AC88" s="1">
        <v>39171</v>
      </c>
      <c r="AD88" s="2">
        <v>309.65629999999999</v>
      </c>
      <c r="AE88" s="1">
        <v>39538</v>
      </c>
      <c r="AF88" s="2">
        <v>227.87129999999999</v>
      </c>
      <c r="AG88" s="1">
        <v>39538</v>
      </c>
      <c r="AH88" s="2">
        <v>501.1925</v>
      </c>
      <c r="AI88" s="1">
        <v>39538</v>
      </c>
      <c r="AJ88" s="2">
        <v>333.3537</v>
      </c>
      <c r="AK88" s="1">
        <v>39171</v>
      </c>
      <c r="AL88" s="2">
        <v>3410.5</v>
      </c>
      <c r="AM88" s="1">
        <v>39171</v>
      </c>
      <c r="AN88" s="2">
        <v>834.24</v>
      </c>
      <c r="AO88" s="1">
        <v>39171</v>
      </c>
      <c r="AP88" s="2">
        <v>1745.33</v>
      </c>
      <c r="AQ88" s="1">
        <v>39171</v>
      </c>
      <c r="AR88" s="2">
        <v>1006.54</v>
      </c>
      <c r="AS88" s="1">
        <v>39171</v>
      </c>
      <c r="AT88" s="2">
        <v>6047.17</v>
      </c>
      <c r="AU88" s="1">
        <v>39171</v>
      </c>
      <c r="AV88" s="2">
        <v>2388.62</v>
      </c>
      <c r="AW88" s="1">
        <v>40633</v>
      </c>
      <c r="AX88" s="2">
        <v>2824.45</v>
      </c>
      <c r="AY88" s="1">
        <v>40574</v>
      </c>
      <c r="AZ88" s="2">
        <v>102.75</v>
      </c>
      <c r="BA88" s="1">
        <v>44253</v>
      </c>
      <c r="BB88" s="2">
        <v>1731.2</v>
      </c>
      <c r="BC88" s="1">
        <v>39171</v>
      </c>
      <c r="BD88" s="2">
        <v>0.84</v>
      </c>
      <c r="BE88" s="1">
        <v>39171</v>
      </c>
      <c r="BF88" s="2">
        <v>11.003</v>
      </c>
      <c r="BG88" s="1">
        <v>39171</v>
      </c>
      <c r="BH88" s="2">
        <v>-38.350999999999999</v>
      </c>
      <c r="BI88" s="1">
        <v>39171</v>
      </c>
      <c r="BJ88" s="2">
        <v>30.696000000000002</v>
      </c>
      <c r="BK88" s="1">
        <v>39171</v>
      </c>
      <c r="BL88" s="2">
        <v>665.87850000000003</v>
      </c>
      <c r="BM88" s="1">
        <v>40694</v>
      </c>
      <c r="BN88" s="2">
        <v>1595.4010000000001</v>
      </c>
      <c r="BO88" s="1">
        <v>40786</v>
      </c>
      <c r="BP88" s="2">
        <v>155</v>
      </c>
    </row>
    <row r="89" spans="1:68" x14ac:dyDescent="0.25">
      <c r="A89" s="1">
        <v>39202</v>
      </c>
      <c r="B89" s="2">
        <v>1768.9949999999999</v>
      </c>
      <c r="C89" s="1">
        <v>39202</v>
      </c>
      <c r="D89" s="2">
        <v>224.7902</v>
      </c>
      <c r="E89" s="1">
        <v>39202</v>
      </c>
      <c r="F89" s="2">
        <v>209.352</v>
      </c>
      <c r="G89" s="1">
        <v>39202</v>
      </c>
      <c r="H89" s="2">
        <v>228.6833</v>
      </c>
      <c r="I89" s="1">
        <v>39233</v>
      </c>
      <c r="J89" s="2">
        <v>124.0577</v>
      </c>
      <c r="K89" s="1">
        <v>39202</v>
      </c>
      <c r="L89" s="2">
        <v>138.50810000000001</v>
      </c>
      <c r="M89" s="1">
        <v>39202</v>
      </c>
      <c r="N89" s="2">
        <v>118.8045</v>
      </c>
      <c r="O89" s="1">
        <v>39233</v>
      </c>
      <c r="P89" s="2">
        <v>111.1001</v>
      </c>
      <c r="Q89" s="1">
        <v>39202</v>
      </c>
      <c r="R89" s="2">
        <v>146.4271</v>
      </c>
      <c r="S89" s="1">
        <v>39202</v>
      </c>
      <c r="T89" s="2">
        <v>329.78179999999998</v>
      </c>
      <c r="U89" s="1">
        <v>39202</v>
      </c>
      <c r="V89" s="2">
        <v>227.3349</v>
      </c>
      <c r="W89" s="1">
        <v>39202</v>
      </c>
      <c r="X89" s="2">
        <v>1364.62</v>
      </c>
      <c r="Y89" s="1">
        <v>39202</v>
      </c>
      <c r="Z89" s="2">
        <v>3.214</v>
      </c>
      <c r="AA89" s="1">
        <v>39568</v>
      </c>
      <c r="AB89" s="2">
        <v>410.04669999999999</v>
      </c>
      <c r="AC89" s="1">
        <v>39202</v>
      </c>
      <c r="AD89" s="2">
        <v>313.8802</v>
      </c>
      <c r="AE89" s="1">
        <v>39568</v>
      </c>
      <c r="AF89" s="2">
        <v>235.14760000000001</v>
      </c>
      <c r="AG89" s="1">
        <v>39568</v>
      </c>
      <c r="AH89" s="2">
        <v>556.2518</v>
      </c>
      <c r="AI89" s="1">
        <v>39568</v>
      </c>
      <c r="AJ89" s="2">
        <v>314.87920000000003</v>
      </c>
      <c r="AK89" s="1">
        <v>39202</v>
      </c>
      <c r="AL89" s="2">
        <v>3560.94</v>
      </c>
      <c r="AM89" s="1">
        <v>39202</v>
      </c>
      <c r="AN89" s="2">
        <v>878.03</v>
      </c>
      <c r="AO89" s="1">
        <v>39202</v>
      </c>
      <c r="AP89" s="2">
        <v>1808.7</v>
      </c>
      <c r="AQ89" s="1">
        <v>39202</v>
      </c>
      <c r="AR89" s="2">
        <v>1044.25</v>
      </c>
      <c r="AS89" s="1">
        <v>39202</v>
      </c>
      <c r="AT89" s="2">
        <v>6314.91</v>
      </c>
      <c r="AU89" s="1">
        <v>39202</v>
      </c>
      <c r="AV89" s="2">
        <v>2493.6</v>
      </c>
      <c r="AW89" s="1">
        <v>40662</v>
      </c>
      <c r="AX89" s="2">
        <v>2932.54</v>
      </c>
      <c r="AY89" s="1">
        <v>40602</v>
      </c>
      <c r="AZ89" s="2">
        <v>109.97</v>
      </c>
      <c r="BA89" s="1">
        <v>44286</v>
      </c>
      <c r="BB89" s="2">
        <v>1776.81</v>
      </c>
      <c r="BC89" s="1">
        <v>39202</v>
      </c>
      <c r="BD89" s="2">
        <v>0.84</v>
      </c>
      <c r="BE89" s="1">
        <v>39202</v>
      </c>
      <c r="BF89" s="2">
        <v>11.286</v>
      </c>
      <c r="BG89" s="1">
        <v>39202</v>
      </c>
      <c r="BH89" s="2">
        <v>-22.013999999999999</v>
      </c>
      <c r="BI89" s="1">
        <v>39202</v>
      </c>
      <c r="BJ89" s="2">
        <v>30.140999999999998</v>
      </c>
      <c r="BK89" s="1">
        <v>39202</v>
      </c>
      <c r="BL89" s="2">
        <v>673.20010000000002</v>
      </c>
      <c r="BM89" s="1">
        <v>40724</v>
      </c>
      <c r="BN89" s="2">
        <v>1573.171</v>
      </c>
      <c r="BO89" s="1">
        <v>40816</v>
      </c>
      <c r="BP89" s="2">
        <v>138.32</v>
      </c>
    </row>
    <row r="90" spans="1:68" x14ac:dyDescent="0.25">
      <c r="A90" s="1">
        <v>39233</v>
      </c>
      <c r="B90" s="2">
        <v>1872.2339999999999</v>
      </c>
      <c r="C90" s="1">
        <v>39233</v>
      </c>
      <c r="D90" s="2">
        <v>231.36279999999999</v>
      </c>
      <c r="E90" s="1">
        <v>39233</v>
      </c>
      <c r="F90" s="2">
        <v>213.393</v>
      </c>
      <c r="G90" s="1">
        <v>39233</v>
      </c>
      <c r="H90" s="2">
        <v>232.08949999999999</v>
      </c>
      <c r="I90" s="1">
        <v>39262</v>
      </c>
      <c r="J90" s="2">
        <v>124.6606</v>
      </c>
      <c r="K90" s="1">
        <v>39233</v>
      </c>
      <c r="L90" s="2">
        <v>141.12119999999999</v>
      </c>
      <c r="M90" s="1">
        <v>39233</v>
      </c>
      <c r="N90" s="2">
        <v>120.7697</v>
      </c>
      <c r="O90" s="1">
        <v>39262</v>
      </c>
      <c r="P90" s="2">
        <v>111.60680000000001</v>
      </c>
      <c r="Q90" s="1">
        <v>39233</v>
      </c>
      <c r="R90" s="2">
        <v>147.0676</v>
      </c>
      <c r="S90" s="1">
        <v>39233</v>
      </c>
      <c r="T90" s="2">
        <v>327.55930000000001</v>
      </c>
      <c r="U90" s="1">
        <v>39233</v>
      </c>
      <c r="V90" s="2">
        <v>222.9684</v>
      </c>
      <c r="W90" s="1">
        <v>39233</v>
      </c>
      <c r="X90" s="2">
        <v>1356.78</v>
      </c>
      <c r="Y90" s="1">
        <v>39233</v>
      </c>
      <c r="Z90" s="2">
        <v>-3.645</v>
      </c>
      <c r="AA90" s="1">
        <v>39598</v>
      </c>
      <c r="AB90" s="2">
        <v>420.077</v>
      </c>
      <c r="AC90" s="1">
        <v>39233</v>
      </c>
      <c r="AD90" s="2">
        <v>314.52769999999998</v>
      </c>
      <c r="AE90" s="1">
        <v>39598</v>
      </c>
      <c r="AF90" s="2">
        <v>239.1105</v>
      </c>
      <c r="AG90" s="1">
        <v>39598</v>
      </c>
      <c r="AH90" s="2">
        <v>637.12940000000003</v>
      </c>
      <c r="AI90" s="1">
        <v>39598</v>
      </c>
      <c r="AJ90" s="2">
        <v>322.78559999999999</v>
      </c>
      <c r="AK90" s="1">
        <v>39233</v>
      </c>
      <c r="AL90" s="2">
        <v>3660.68</v>
      </c>
      <c r="AM90" s="1">
        <v>39233</v>
      </c>
      <c r="AN90" s="2">
        <v>905.23</v>
      </c>
      <c r="AO90" s="1">
        <v>39233</v>
      </c>
      <c r="AP90" s="2">
        <v>1832.03</v>
      </c>
      <c r="AQ90" s="1">
        <v>39233</v>
      </c>
      <c r="AR90" s="2">
        <v>1078.3399999999999</v>
      </c>
      <c r="AS90" s="1">
        <v>39233</v>
      </c>
      <c r="AT90" s="2">
        <v>6485.07</v>
      </c>
      <c r="AU90" s="1">
        <v>39233</v>
      </c>
      <c r="AV90" s="2">
        <v>2566.11</v>
      </c>
      <c r="AW90" s="1">
        <v>40694</v>
      </c>
      <c r="AX90" s="2">
        <v>2925.54</v>
      </c>
      <c r="AY90" s="1">
        <v>40633</v>
      </c>
      <c r="AZ90" s="2">
        <v>106.56</v>
      </c>
      <c r="BA90" s="1">
        <v>44316</v>
      </c>
      <c r="BB90" s="2">
        <v>1796.79</v>
      </c>
      <c r="BC90" s="1">
        <v>39233</v>
      </c>
      <c r="BD90" s="2">
        <v>0.83</v>
      </c>
      <c r="BE90" s="1">
        <v>39233</v>
      </c>
      <c r="BF90" s="2">
        <v>3.4089999999999998</v>
      </c>
      <c r="BG90" s="1">
        <v>39233</v>
      </c>
      <c r="BH90" s="2">
        <v>16.574000000000002</v>
      </c>
      <c r="BI90" s="1">
        <v>39233</v>
      </c>
      <c r="BJ90" s="2">
        <v>15.387</v>
      </c>
      <c r="BK90" s="1">
        <v>39233</v>
      </c>
      <c r="BL90" s="2">
        <v>659.53189999999995</v>
      </c>
      <c r="BM90" s="1">
        <v>40753</v>
      </c>
      <c r="BN90" s="2">
        <v>1525.6890000000001</v>
      </c>
      <c r="BO90" s="1">
        <v>40847</v>
      </c>
      <c r="BP90" s="2">
        <v>151.96</v>
      </c>
    </row>
    <row r="91" spans="1:68" x14ac:dyDescent="0.25">
      <c r="A91" s="1">
        <v>39262</v>
      </c>
      <c r="B91" s="2">
        <v>1915.4829999999999</v>
      </c>
      <c r="C91" s="1">
        <v>39262</v>
      </c>
      <c r="D91" s="2">
        <v>237.14840000000001</v>
      </c>
      <c r="E91" s="1">
        <v>39262</v>
      </c>
      <c r="F91" s="2">
        <v>220.44</v>
      </c>
      <c r="G91" s="1">
        <v>39262</v>
      </c>
      <c r="H91" s="2">
        <v>233.5231</v>
      </c>
      <c r="I91" s="1">
        <v>39294</v>
      </c>
      <c r="J91" s="2">
        <v>124.1182</v>
      </c>
      <c r="K91" s="1">
        <v>39262</v>
      </c>
      <c r="L91" s="2">
        <v>141.37200000000001</v>
      </c>
      <c r="M91" s="1">
        <v>39262</v>
      </c>
      <c r="N91" s="2">
        <v>122.3134</v>
      </c>
      <c r="O91" s="1">
        <v>39294</v>
      </c>
      <c r="P91" s="2">
        <v>112.1722</v>
      </c>
      <c r="Q91" s="1">
        <v>39262</v>
      </c>
      <c r="R91" s="2">
        <v>147.29769999999999</v>
      </c>
      <c r="S91" s="1">
        <v>39262</v>
      </c>
      <c r="T91" s="2">
        <v>326.34230000000002</v>
      </c>
      <c r="U91" s="1">
        <v>39262</v>
      </c>
      <c r="V91" s="2">
        <v>223.12629999999999</v>
      </c>
      <c r="W91" s="1">
        <v>39262</v>
      </c>
      <c r="X91" s="2">
        <v>1351.08</v>
      </c>
      <c r="Y91" s="1">
        <v>39262</v>
      </c>
      <c r="Z91" s="2">
        <v>15.542</v>
      </c>
      <c r="AA91" s="1">
        <v>39629</v>
      </c>
      <c r="AB91" s="2">
        <v>454.1112</v>
      </c>
      <c r="AC91" s="1">
        <v>39262</v>
      </c>
      <c r="AD91" s="2">
        <v>311.26209999999998</v>
      </c>
      <c r="AE91" s="1">
        <v>39629</v>
      </c>
      <c r="AF91" s="2">
        <v>263.33670000000001</v>
      </c>
      <c r="AG91" s="1">
        <v>39629</v>
      </c>
      <c r="AH91" s="2">
        <v>702.24580000000003</v>
      </c>
      <c r="AI91" s="1">
        <v>39629</v>
      </c>
      <c r="AJ91" s="2">
        <v>336.07940000000002</v>
      </c>
      <c r="AK91" s="1">
        <v>39262</v>
      </c>
      <c r="AL91" s="2">
        <v>3632.44</v>
      </c>
      <c r="AM91" s="1">
        <v>39262</v>
      </c>
      <c r="AN91" s="2">
        <v>911.5</v>
      </c>
      <c r="AO91" s="1">
        <v>39262</v>
      </c>
      <c r="AP91" s="2">
        <v>1776.89</v>
      </c>
      <c r="AQ91" s="1">
        <v>39262</v>
      </c>
      <c r="AR91" s="2">
        <v>1071.52</v>
      </c>
      <c r="AS91" s="1">
        <v>39262</v>
      </c>
      <c r="AT91" s="2">
        <v>6411.68</v>
      </c>
      <c r="AU91" s="1">
        <v>39262</v>
      </c>
      <c r="AV91" s="2">
        <v>2555.59</v>
      </c>
      <c r="AW91" s="1">
        <v>40724</v>
      </c>
      <c r="AX91" s="2">
        <v>2883.2</v>
      </c>
      <c r="AY91" s="1">
        <v>40662</v>
      </c>
      <c r="AZ91" s="2">
        <v>111.29</v>
      </c>
      <c r="BA91" s="1">
        <v>44347</v>
      </c>
      <c r="BB91" s="2">
        <v>1817.55</v>
      </c>
      <c r="BC91" s="1">
        <v>39262</v>
      </c>
      <c r="BD91" s="2">
        <v>0.89</v>
      </c>
      <c r="BE91" s="1">
        <v>39262</v>
      </c>
      <c r="BF91" s="2">
        <v>10.422000000000001</v>
      </c>
      <c r="BG91" s="1">
        <v>39262</v>
      </c>
      <c r="BH91" s="2">
        <v>22.417999999999999</v>
      </c>
      <c r="BI91" s="1">
        <v>39262</v>
      </c>
      <c r="BJ91" s="2">
        <v>20.190000000000001</v>
      </c>
      <c r="BK91" s="1">
        <v>39262</v>
      </c>
      <c r="BL91" s="2">
        <v>655.61429999999996</v>
      </c>
      <c r="BM91" s="1">
        <v>40786</v>
      </c>
      <c r="BN91" s="2">
        <v>1414.1010000000001</v>
      </c>
      <c r="BO91" s="1">
        <v>40877</v>
      </c>
      <c r="BP91" s="2">
        <v>150.44</v>
      </c>
    </row>
    <row r="92" spans="1:68" x14ac:dyDescent="0.25">
      <c r="A92" s="1">
        <v>39294</v>
      </c>
      <c r="B92" s="2">
        <v>1822.501</v>
      </c>
      <c r="C92" s="1">
        <v>39294</v>
      </c>
      <c r="D92" s="2">
        <v>235.98240000000001</v>
      </c>
      <c r="E92" s="1">
        <v>39294</v>
      </c>
      <c r="F92" s="2">
        <v>218.07900000000001</v>
      </c>
      <c r="G92" s="1">
        <v>39294</v>
      </c>
      <c r="H92" s="2">
        <v>235.1164</v>
      </c>
      <c r="I92" s="1">
        <v>39325</v>
      </c>
      <c r="J92" s="2">
        <v>122.7971</v>
      </c>
      <c r="K92" s="1">
        <v>39294</v>
      </c>
      <c r="L92" s="2">
        <v>139.86510000000001</v>
      </c>
      <c r="M92" s="1">
        <v>39294</v>
      </c>
      <c r="N92" s="2">
        <v>118.6823</v>
      </c>
      <c r="O92" s="1">
        <v>39325</v>
      </c>
      <c r="P92" s="2">
        <v>111.60080000000001</v>
      </c>
      <c r="Q92" s="1">
        <v>39294</v>
      </c>
      <c r="R92" s="2">
        <v>148.22309999999999</v>
      </c>
      <c r="S92" s="1">
        <v>39294</v>
      </c>
      <c r="T92" s="2">
        <v>329.64440000000002</v>
      </c>
      <c r="U92" s="1">
        <v>39294</v>
      </c>
      <c r="V92" s="2">
        <v>229.74250000000001</v>
      </c>
      <c r="W92" s="1">
        <v>39294</v>
      </c>
      <c r="X92" s="2">
        <v>1360.23</v>
      </c>
      <c r="Y92" s="1">
        <v>39294</v>
      </c>
      <c r="Z92" s="2">
        <v>22.234000000000002</v>
      </c>
      <c r="AA92" s="1">
        <v>39660</v>
      </c>
      <c r="AB92" s="2">
        <v>418.75529999999998</v>
      </c>
      <c r="AC92" s="1">
        <v>39294</v>
      </c>
      <c r="AD92" s="2">
        <v>319.04590000000002</v>
      </c>
      <c r="AE92" s="1">
        <v>39660</v>
      </c>
      <c r="AF92" s="2">
        <v>244.4255</v>
      </c>
      <c r="AG92" s="1">
        <v>39660</v>
      </c>
      <c r="AH92" s="2">
        <v>608.08180000000004</v>
      </c>
      <c r="AI92" s="1">
        <v>39660</v>
      </c>
      <c r="AJ92" s="2">
        <v>333.82499999999999</v>
      </c>
      <c r="AK92" s="1">
        <v>39294</v>
      </c>
      <c r="AL92" s="2">
        <v>3552</v>
      </c>
      <c r="AM92" s="1">
        <v>39294</v>
      </c>
      <c r="AN92" s="2">
        <v>899.87</v>
      </c>
      <c r="AO92" s="1">
        <v>39294</v>
      </c>
      <c r="AP92" s="2">
        <v>1728.7</v>
      </c>
      <c r="AQ92" s="1">
        <v>39294</v>
      </c>
      <c r="AR92" s="2">
        <v>1066.92</v>
      </c>
      <c r="AS92" s="1">
        <v>39294</v>
      </c>
      <c r="AT92" s="2">
        <v>6205.82</v>
      </c>
      <c r="AU92" s="1">
        <v>39294</v>
      </c>
      <c r="AV92" s="2">
        <v>2524.44</v>
      </c>
      <c r="AW92" s="1">
        <v>40753</v>
      </c>
      <c r="AX92" s="2">
        <v>3014.35</v>
      </c>
      <c r="AY92" s="1">
        <v>40694</v>
      </c>
      <c r="AZ92" s="2">
        <v>106.19</v>
      </c>
      <c r="BA92" s="1">
        <v>44377</v>
      </c>
      <c r="BB92" s="2">
        <v>1832.59</v>
      </c>
      <c r="BC92" s="1">
        <v>39294</v>
      </c>
      <c r="BD92" s="2">
        <v>1.1599999999999999</v>
      </c>
      <c r="BE92" s="1">
        <v>39294</v>
      </c>
      <c r="BF92" s="2">
        <v>17.78</v>
      </c>
      <c r="BG92" s="1">
        <v>39294</v>
      </c>
      <c r="BH92" s="2">
        <v>-14.108000000000001</v>
      </c>
      <c r="BI92" s="1">
        <v>39294</v>
      </c>
      <c r="BJ92" s="2">
        <v>33.847999999999999</v>
      </c>
      <c r="BK92" s="1">
        <v>39294</v>
      </c>
      <c r="BL92" s="2">
        <v>675.05240000000003</v>
      </c>
      <c r="BM92" s="1">
        <v>40816</v>
      </c>
      <c r="BN92" s="2">
        <v>1304.9190000000001</v>
      </c>
      <c r="BO92" s="1">
        <v>40907</v>
      </c>
      <c r="BP92" s="2">
        <v>159.87</v>
      </c>
    </row>
    <row r="93" spans="1:68" x14ac:dyDescent="0.25">
      <c r="A93" s="1">
        <v>39325</v>
      </c>
      <c r="B93" s="2">
        <v>1695.8920000000001</v>
      </c>
      <c r="C93" s="1">
        <v>39325</v>
      </c>
      <c r="D93" s="2">
        <v>227.5377</v>
      </c>
      <c r="E93" s="1">
        <v>39325</v>
      </c>
      <c r="F93" s="2">
        <v>207.55799999999999</v>
      </c>
      <c r="G93" s="1">
        <v>39325</v>
      </c>
      <c r="H93" s="2">
        <v>231.39529999999999</v>
      </c>
      <c r="I93" s="1">
        <v>39353</v>
      </c>
      <c r="J93" s="2">
        <v>124.4303</v>
      </c>
      <c r="K93" s="1">
        <v>39325</v>
      </c>
      <c r="L93" s="2">
        <v>138.19839999999999</v>
      </c>
      <c r="M93" s="1">
        <v>39325</v>
      </c>
      <c r="N93" s="2">
        <v>118.3232</v>
      </c>
      <c r="O93" s="1">
        <v>39353</v>
      </c>
      <c r="P93" s="2">
        <v>113.4041</v>
      </c>
      <c r="Q93" s="1">
        <v>39325</v>
      </c>
      <c r="R93" s="2">
        <v>144.7294</v>
      </c>
      <c r="S93" s="1">
        <v>39325</v>
      </c>
      <c r="T93" s="2">
        <v>333.41860000000003</v>
      </c>
      <c r="U93" s="1">
        <v>39325</v>
      </c>
      <c r="V93" s="2">
        <v>231.637</v>
      </c>
      <c r="W93" s="1">
        <v>39325</v>
      </c>
      <c r="X93" s="2">
        <v>1376.24</v>
      </c>
      <c r="Y93" s="1">
        <v>39325</v>
      </c>
      <c r="Z93" s="2">
        <v>36.886000000000003</v>
      </c>
      <c r="AA93" s="1">
        <v>39689</v>
      </c>
      <c r="AB93" s="2">
        <v>389.30689999999998</v>
      </c>
      <c r="AC93" s="1">
        <v>39325</v>
      </c>
      <c r="AD93" s="2">
        <v>308.82350000000002</v>
      </c>
      <c r="AE93" s="1">
        <v>39689</v>
      </c>
      <c r="AF93" s="2">
        <v>234.1437</v>
      </c>
      <c r="AG93" s="1">
        <v>39689</v>
      </c>
      <c r="AH93" s="2">
        <v>559.97299999999996</v>
      </c>
      <c r="AI93" s="1">
        <v>39689</v>
      </c>
      <c r="AJ93" s="2">
        <v>290.79500000000002</v>
      </c>
      <c r="AK93" s="1">
        <v>39325</v>
      </c>
      <c r="AL93" s="2">
        <v>3549.3</v>
      </c>
      <c r="AM93" s="1">
        <v>39325</v>
      </c>
      <c r="AN93" s="2">
        <v>908.34</v>
      </c>
      <c r="AO93" s="1">
        <v>39325</v>
      </c>
      <c r="AP93" s="2">
        <v>1753.28</v>
      </c>
      <c r="AQ93" s="1">
        <v>39325</v>
      </c>
      <c r="AR93" s="2">
        <v>1053.94</v>
      </c>
      <c r="AS93" s="1">
        <v>39325</v>
      </c>
      <c r="AT93" s="2">
        <v>6181</v>
      </c>
      <c r="AU93" s="1">
        <v>39325</v>
      </c>
      <c r="AV93" s="2">
        <v>2530.4899999999998</v>
      </c>
      <c r="AW93" s="1">
        <v>40786</v>
      </c>
      <c r="AX93" s="2">
        <v>3069.2</v>
      </c>
      <c r="AY93" s="1">
        <v>40724</v>
      </c>
      <c r="AZ93" s="2">
        <v>101.64</v>
      </c>
      <c r="BA93" s="1">
        <v>44407</v>
      </c>
      <c r="BB93" s="2">
        <v>1828.44</v>
      </c>
      <c r="BC93" s="1">
        <v>39325</v>
      </c>
      <c r="BD93" s="2">
        <v>1.33</v>
      </c>
      <c r="BE93" s="1">
        <v>39325</v>
      </c>
      <c r="BF93" s="2">
        <v>27.289000000000001</v>
      </c>
      <c r="BG93" s="1">
        <v>39325</v>
      </c>
      <c r="BH93" s="2">
        <v>47.47</v>
      </c>
      <c r="BI93" s="1">
        <v>39325</v>
      </c>
      <c r="BJ93" s="2">
        <v>56.953000000000003</v>
      </c>
      <c r="BK93" s="1">
        <v>39325</v>
      </c>
      <c r="BL93" s="2">
        <v>686.00360000000001</v>
      </c>
      <c r="BM93" s="1">
        <v>40847</v>
      </c>
      <c r="BN93" s="2">
        <v>1429.672</v>
      </c>
      <c r="BO93" s="1">
        <v>40939</v>
      </c>
      <c r="BP93" s="2">
        <v>169.53</v>
      </c>
    </row>
    <row r="94" spans="1:68" x14ac:dyDescent="0.25">
      <c r="A94" s="1">
        <v>39353</v>
      </c>
      <c r="B94" s="2">
        <v>1799.848</v>
      </c>
      <c r="C94" s="1">
        <v>39353</v>
      </c>
      <c r="D94" s="2">
        <v>233.72470000000001</v>
      </c>
      <c r="E94" s="1">
        <v>39353</v>
      </c>
      <c r="F94" s="2">
        <v>212.78299999999999</v>
      </c>
      <c r="G94" s="1">
        <v>39353</v>
      </c>
      <c r="H94" s="2">
        <v>243.15049999999999</v>
      </c>
      <c r="I94" s="1">
        <v>39386</v>
      </c>
      <c r="J94" s="2">
        <v>125.71510000000001</v>
      </c>
      <c r="K94" s="1">
        <v>39353</v>
      </c>
      <c r="L94" s="2">
        <v>139.5196</v>
      </c>
      <c r="M94" s="1">
        <v>39353</v>
      </c>
      <c r="N94" s="2">
        <v>118.2062</v>
      </c>
      <c r="O94" s="1">
        <v>39386</v>
      </c>
      <c r="P94" s="2">
        <v>114.5663</v>
      </c>
      <c r="Q94" s="1">
        <v>39353</v>
      </c>
      <c r="R94" s="2">
        <v>147.9778</v>
      </c>
      <c r="S94" s="1">
        <v>39353</v>
      </c>
      <c r="T94" s="2">
        <v>334.89640000000003</v>
      </c>
      <c r="U94" s="1">
        <v>39353</v>
      </c>
      <c r="V94" s="2">
        <v>237.55340000000001</v>
      </c>
      <c r="W94" s="1">
        <v>39353</v>
      </c>
      <c r="X94" s="2">
        <v>1386.81</v>
      </c>
      <c r="Y94" s="1">
        <v>39353</v>
      </c>
      <c r="Z94" s="2">
        <v>58.466999999999999</v>
      </c>
      <c r="AA94" s="1">
        <v>39721</v>
      </c>
      <c r="AB94" s="2">
        <v>345.67380000000003</v>
      </c>
      <c r="AC94" s="1">
        <v>39353</v>
      </c>
      <c r="AD94" s="2">
        <v>332.97149999999999</v>
      </c>
      <c r="AE94" s="1">
        <v>39721</v>
      </c>
      <c r="AF94" s="2">
        <v>203.60489999999999</v>
      </c>
      <c r="AG94" s="1">
        <v>39721</v>
      </c>
      <c r="AH94" s="2">
        <v>487.4074</v>
      </c>
      <c r="AI94" s="1">
        <v>39721</v>
      </c>
      <c r="AJ94" s="2">
        <v>297.01909999999998</v>
      </c>
      <c r="AK94" s="1">
        <v>39353</v>
      </c>
      <c r="AL94" s="2">
        <v>3718.09</v>
      </c>
      <c r="AM94" s="1">
        <v>39353</v>
      </c>
      <c r="AN94" s="2">
        <v>961.96</v>
      </c>
      <c r="AO94" s="1">
        <v>39353</v>
      </c>
      <c r="AP94" s="2">
        <v>1823.94</v>
      </c>
      <c r="AQ94" s="1">
        <v>39353</v>
      </c>
      <c r="AR94" s="2">
        <v>1138.54</v>
      </c>
      <c r="AS94" s="1">
        <v>39353</v>
      </c>
      <c r="AT94" s="2">
        <v>6430.68</v>
      </c>
      <c r="AU94" s="1">
        <v>39353</v>
      </c>
      <c r="AV94" s="2">
        <v>2668.35</v>
      </c>
      <c r="AW94" s="1">
        <v>40816</v>
      </c>
      <c r="AX94" s="2">
        <v>2933.55</v>
      </c>
      <c r="AY94" s="1">
        <v>40753</v>
      </c>
      <c r="AZ94" s="2">
        <v>96.19</v>
      </c>
      <c r="BA94" s="1">
        <v>44439</v>
      </c>
      <c r="BB94" s="2">
        <v>1848.4</v>
      </c>
      <c r="BC94" s="1">
        <v>39353</v>
      </c>
      <c r="BD94" s="2">
        <v>1.32</v>
      </c>
      <c r="BE94" s="1">
        <v>39353</v>
      </c>
      <c r="BF94" s="2">
        <v>34.462000000000003</v>
      </c>
      <c r="BG94" s="1">
        <v>39353</v>
      </c>
      <c r="BH94" s="2">
        <v>83.956000000000003</v>
      </c>
      <c r="BI94" s="1">
        <v>39353</v>
      </c>
      <c r="BJ94" s="2">
        <v>59.212000000000003</v>
      </c>
      <c r="BK94" s="1">
        <v>39353</v>
      </c>
      <c r="BL94" s="2">
        <v>702.84849999999994</v>
      </c>
      <c r="BM94" s="1">
        <v>40877</v>
      </c>
      <c r="BN94" s="2">
        <v>1389.557</v>
      </c>
      <c r="BO94" s="1">
        <v>40968</v>
      </c>
      <c r="BP94" s="2">
        <v>173.08</v>
      </c>
    </row>
    <row r="95" spans="1:68" x14ac:dyDescent="0.25">
      <c r="A95" s="1">
        <v>39386</v>
      </c>
      <c r="B95" s="2">
        <v>1908.479</v>
      </c>
      <c r="C95" s="1">
        <v>39386</v>
      </c>
      <c r="D95" s="2">
        <v>239.87469999999999</v>
      </c>
      <c r="E95" s="1">
        <v>39386</v>
      </c>
      <c r="F95" s="2">
        <v>218.13499999999999</v>
      </c>
      <c r="G95" s="1">
        <v>39386</v>
      </c>
      <c r="H95" s="2">
        <v>251.6618</v>
      </c>
      <c r="I95" s="1">
        <v>39416</v>
      </c>
      <c r="J95" s="2">
        <v>125.8763</v>
      </c>
      <c r="K95" s="1">
        <v>39386</v>
      </c>
      <c r="L95" s="2">
        <v>141.14359999999999</v>
      </c>
      <c r="M95" s="1">
        <v>39386</v>
      </c>
      <c r="N95" s="2">
        <v>117.2752</v>
      </c>
      <c r="O95" s="1">
        <v>39416</v>
      </c>
      <c r="P95" s="2">
        <v>114.9194</v>
      </c>
      <c r="Q95" s="1">
        <v>39386</v>
      </c>
      <c r="R95" s="2">
        <v>151.31440000000001</v>
      </c>
      <c r="S95" s="1">
        <v>39386</v>
      </c>
      <c r="T95" s="2">
        <v>337.71429999999998</v>
      </c>
      <c r="U95" s="1">
        <v>39386</v>
      </c>
      <c r="V95" s="2">
        <v>242.77379999999999</v>
      </c>
      <c r="W95" s="1">
        <v>39386</v>
      </c>
      <c r="X95" s="2">
        <v>1400.82</v>
      </c>
      <c r="Y95" s="1">
        <v>39386</v>
      </c>
      <c r="Z95" s="2">
        <v>53.061999999999998</v>
      </c>
      <c r="AA95" s="1">
        <v>39752</v>
      </c>
      <c r="AB95" s="2">
        <v>269.03809999999999</v>
      </c>
      <c r="AC95" s="1">
        <v>39386</v>
      </c>
      <c r="AD95" s="2">
        <v>345.98509999999999</v>
      </c>
      <c r="AE95" s="1">
        <v>39752</v>
      </c>
      <c r="AF95" s="2">
        <v>176.81</v>
      </c>
      <c r="AG95" s="1">
        <v>39752</v>
      </c>
      <c r="AH95" s="2">
        <v>344.35230000000001</v>
      </c>
      <c r="AI95" s="1">
        <v>39752</v>
      </c>
      <c r="AJ95" s="2">
        <v>240.13239999999999</v>
      </c>
      <c r="AK95" s="1">
        <v>39386</v>
      </c>
      <c r="AL95" s="2">
        <v>3832.13</v>
      </c>
      <c r="AM95" s="1">
        <v>39386</v>
      </c>
      <c r="AN95" s="2">
        <v>992.48</v>
      </c>
      <c r="AO95" s="1">
        <v>39386</v>
      </c>
      <c r="AP95" s="2">
        <v>1868.44</v>
      </c>
      <c r="AQ95" s="1">
        <v>39386</v>
      </c>
      <c r="AR95" s="2">
        <v>1190.33</v>
      </c>
      <c r="AS95" s="1">
        <v>39386</v>
      </c>
      <c r="AT95" s="2">
        <v>6569.99</v>
      </c>
      <c r="AU95" s="1">
        <v>39386</v>
      </c>
      <c r="AV95" s="2">
        <v>2773.03</v>
      </c>
      <c r="AW95" s="1">
        <v>40847</v>
      </c>
      <c r="AX95" s="2">
        <v>3066.81</v>
      </c>
      <c r="AY95" s="1">
        <v>40786</v>
      </c>
      <c r="AZ95" s="2">
        <v>85.47</v>
      </c>
      <c r="BA95" s="1">
        <v>44469</v>
      </c>
      <c r="BB95" s="2">
        <v>1830.57</v>
      </c>
      <c r="BC95" s="1">
        <v>39386</v>
      </c>
      <c r="BD95" s="2">
        <v>1.3</v>
      </c>
      <c r="BE95" s="1">
        <v>39386</v>
      </c>
      <c r="BF95" s="2">
        <v>30.323</v>
      </c>
      <c r="BG95" s="1">
        <v>39386</v>
      </c>
      <c r="BH95" s="2">
        <v>59.555999999999997</v>
      </c>
      <c r="BI95" s="1">
        <v>39386</v>
      </c>
      <c r="BJ95" s="2">
        <v>57.665999999999997</v>
      </c>
      <c r="BK95" s="1">
        <v>39386</v>
      </c>
      <c r="BL95" s="2">
        <v>714.28830000000005</v>
      </c>
      <c r="BM95" s="1">
        <v>40907</v>
      </c>
      <c r="BN95" s="2">
        <v>1402.24</v>
      </c>
      <c r="BO95" s="1">
        <v>40998</v>
      </c>
      <c r="BP95" s="2">
        <v>187.37</v>
      </c>
    </row>
    <row r="96" spans="1:68" x14ac:dyDescent="0.25">
      <c r="A96" s="1">
        <v>39416</v>
      </c>
      <c r="B96" s="2">
        <v>1890.095</v>
      </c>
      <c r="C96" s="1">
        <v>39416</v>
      </c>
      <c r="D96" s="2">
        <v>230.74090000000001</v>
      </c>
      <c r="E96" s="1">
        <v>39416</v>
      </c>
      <c r="F96" s="2">
        <v>208.71299999999999</v>
      </c>
      <c r="G96" s="1">
        <v>39416</v>
      </c>
      <c r="H96" s="2">
        <v>248.96889999999999</v>
      </c>
      <c r="I96" s="1">
        <v>39447</v>
      </c>
      <c r="J96" s="2">
        <v>125.94450000000001</v>
      </c>
      <c r="K96" s="1">
        <v>39416</v>
      </c>
      <c r="L96" s="2">
        <v>138.17070000000001</v>
      </c>
      <c r="M96" s="1">
        <v>39416</v>
      </c>
      <c r="N96" s="2">
        <v>119.7363</v>
      </c>
      <c r="O96" s="1">
        <v>39447</v>
      </c>
      <c r="P96" s="2">
        <v>116.5138</v>
      </c>
      <c r="Q96" s="1">
        <v>39416</v>
      </c>
      <c r="R96" s="2">
        <v>151.65260000000001</v>
      </c>
      <c r="S96" s="1">
        <v>39416</v>
      </c>
      <c r="T96" s="2">
        <v>341.50720000000001</v>
      </c>
      <c r="U96" s="1">
        <v>39416</v>
      </c>
      <c r="V96" s="2">
        <v>249.357</v>
      </c>
      <c r="W96" s="1">
        <v>39416</v>
      </c>
      <c r="X96" s="2">
        <v>1425.24</v>
      </c>
      <c r="Y96" s="1">
        <v>39416</v>
      </c>
      <c r="Z96" s="2">
        <v>90.665000000000006</v>
      </c>
      <c r="AA96" s="1">
        <v>39780</v>
      </c>
      <c r="AB96" s="2">
        <v>250.55619999999999</v>
      </c>
      <c r="AC96" s="1">
        <v>39416</v>
      </c>
      <c r="AD96" s="2">
        <v>336.73930000000001</v>
      </c>
      <c r="AE96" s="1">
        <v>39780</v>
      </c>
      <c r="AF96" s="2">
        <v>169.9896</v>
      </c>
      <c r="AG96" s="1">
        <v>39780</v>
      </c>
      <c r="AH96" s="2">
        <v>287.8775</v>
      </c>
      <c r="AI96" s="1">
        <v>39780</v>
      </c>
      <c r="AJ96" s="2">
        <v>269.1429</v>
      </c>
      <c r="AK96" s="1">
        <v>39416</v>
      </c>
      <c r="AL96" s="2">
        <v>3675.49</v>
      </c>
      <c r="AM96" s="1">
        <v>39416</v>
      </c>
      <c r="AN96" s="2">
        <v>961.27</v>
      </c>
      <c r="AO96" s="1">
        <v>39416</v>
      </c>
      <c r="AP96" s="2">
        <v>1827.91</v>
      </c>
      <c r="AQ96" s="1">
        <v>39416</v>
      </c>
      <c r="AR96" s="2">
        <v>1139.45</v>
      </c>
      <c r="AS96" s="1">
        <v>39416</v>
      </c>
      <c r="AT96" s="2">
        <v>6239.25</v>
      </c>
      <c r="AU96" s="1">
        <v>39416</v>
      </c>
      <c r="AV96" s="2">
        <v>2684.16</v>
      </c>
      <c r="AW96" s="1">
        <v>40877</v>
      </c>
      <c r="AX96" s="2">
        <v>3018.29</v>
      </c>
      <c r="AY96" s="1">
        <v>40816</v>
      </c>
      <c r="AZ96" s="2">
        <v>73.14</v>
      </c>
      <c r="BA96" s="1">
        <v>44498</v>
      </c>
      <c r="BB96" s="2">
        <v>1876</v>
      </c>
      <c r="BC96" s="1">
        <v>39416</v>
      </c>
      <c r="BD96" s="2">
        <v>1.76</v>
      </c>
      <c r="BE96" s="1">
        <v>39416</v>
      </c>
      <c r="BF96" s="2">
        <v>55.533000000000001</v>
      </c>
      <c r="BG96" s="1">
        <v>39416</v>
      </c>
      <c r="BH96" s="2">
        <v>82.296999999999997</v>
      </c>
      <c r="BI96" s="1">
        <v>39416</v>
      </c>
      <c r="BJ96" s="2">
        <v>99.632000000000005</v>
      </c>
      <c r="BK96" s="1">
        <v>39416</v>
      </c>
      <c r="BL96" s="2">
        <v>734.09199999999998</v>
      </c>
      <c r="BM96" s="1">
        <v>40939</v>
      </c>
      <c r="BN96" s="2">
        <v>1460.4639999999999</v>
      </c>
      <c r="BO96" s="1">
        <v>41029</v>
      </c>
      <c r="BP96" s="2">
        <v>186.27</v>
      </c>
    </row>
    <row r="97" spans="1:68" x14ac:dyDescent="0.25">
      <c r="A97" s="1">
        <v>39447</v>
      </c>
      <c r="B97" s="2">
        <v>1915.1320000000001</v>
      </c>
      <c r="C97" s="1">
        <v>39447</v>
      </c>
      <c r="D97" s="2">
        <v>232.1754</v>
      </c>
      <c r="E97" s="1">
        <v>39447</v>
      </c>
      <c r="F97" s="2">
        <v>207.732</v>
      </c>
      <c r="G97" s="1">
        <v>39447</v>
      </c>
      <c r="H97" s="2">
        <v>249.9725</v>
      </c>
      <c r="I97" s="1">
        <v>39478</v>
      </c>
      <c r="J97" s="2">
        <v>127.2615</v>
      </c>
      <c r="K97" s="1">
        <v>39447</v>
      </c>
      <c r="L97" s="2">
        <v>137.08150000000001</v>
      </c>
      <c r="M97" s="1">
        <v>39447</v>
      </c>
      <c r="N97" s="2">
        <v>118.9646</v>
      </c>
      <c r="O97" s="1">
        <v>39478</v>
      </c>
      <c r="P97" s="2">
        <v>116.9931</v>
      </c>
      <c r="Q97" s="1">
        <v>39447</v>
      </c>
      <c r="R97" s="2">
        <v>150.51079999999999</v>
      </c>
      <c r="S97" s="1">
        <v>39447</v>
      </c>
      <c r="T97" s="2">
        <v>342.2525</v>
      </c>
      <c r="U97" s="1">
        <v>39447</v>
      </c>
      <c r="V97" s="2">
        <v>247.68889999999999</v>
      </c>
      <c r="W97" s="1">
        <v>39447</v>
      </c>
      <c r="X97" s="2">
        <v>1429.28</v>
      </c>
      <c r="Y97" s="1">
        <v>39447</v>
      </c>
      <c r="Z97" s="2">
        <v>97.447999999999993</v>
      </c>
      <c r="AA97" s="1">
        <v>39813</v>
      </c>
      <c r="AB97" s="2">
        <v>243.7748</v>
      </c>
      <c r="AC97" s="1">
        <v>39447</v>
      </c>
      <c r="AD97" s="2">
        <v>353.95080000000002</v>
      </c>
      <c r="AE97" s="1">
        <v>39813</v>
      </c>
      <c r="AF97" s="2">
        <v>177.3887</v>
      </c>
      <c r="AG97" s="1">
        <v>39813</v>
      </c>
      <c r="AH97" s="2">
        <v>246.14359999999999</v>
      </c>
      <c r="AI97" s="1">
        <v>39813</v>
      </c>
      <c r="AJ97" s="2">
        <v>291.60640000000001</v>
      </c>
      <c r="AK97" s="1">
        <v>39447</v>
      </c>
      <c r="AL97" s="2">
        <v>3628.07</v>
      </c>
      <c r="AM97" s="1">
        <v>39447</v>
      </c>
      <c r="AN97" s="2">
        <v>957.97</v>
      </c>
      <c r="AO97" s="1">
        <v>39447</v>
      </c>
      <c r="AP97" s="2">
        <v>1795.31</v>
      </c>
      <c r="AQ97" s="1">
        <v>39447</v>
      </c>
      <c r="AR97" s="2">
        <v>1149.2</v>
      </c>
      <c r="AS97" s="1">
        <v>39447</v>
      </c>
      <c r="AT97" s="2">
        <v>6123.39</v>
      </c>
      <c r="AU97" s="1">
        <v>39447</v>
      </c>
      <c r="AV97" s="2">
        <v>2664.4</v>
      </c>
      <c r="AW97" s="1">
        <v>40907</v>
      </c>
      <c r="AX97" s="2">
        <v>3085.62</v>
      </c>
      <c r="AY97" s="1">
        <v>40847</v>
      </c>
      <c r="AZ97" s="2">
        <v>84.18</v>
      </c>
      <c r="BA97" s="1">
        <v>44530</v>
      </c>
      <c r="BB97" s="2">
        <v>1843.62</v>
      </c>
      <c r="BC97" s="1">
        <v>39447</v>
      </c>
      <c r="BD97" s="2">
        <v>1.81</v>
      </c>
      <c r="BE97" s="1">
        <v>39447</v>
      </c>
      <c r="BF97" s="2">
        <v>58.375</v>
      </c>
      <c r="BG97" s="1">
        <v>39447</v>
      </c>
      <c r="BH97" s="2">
        <v>78.313999999999993</v>
      </c>
      <c r="BI97" s="1">
        <v>39447</v>
      </c>
      <c r="BJ97" s="2">
        <v>101.22</v>
      </c>
      <c r="BK97" s="1">
        <v>39447</v>
      </c>
      <c r="BL97" s="2">
        <v>730.37950000000001</v>
      </c>
      <c r="BM97" s="1">
        <v>40968</v>
      </c>
      <c r="BN97" s="2">
        <v>1527.375</v>
      </c>
      <c r="BO97" s="1">
        <v>41060</v>
      </c>
      <c r="BP97" s="2">
        <v>175.92</v>
      </c>
    </row>
    <row r="98" spans="1:68" x14ac:dyDescent="0.25">
      <c r="A98" s="1">
        <v>39478</v>
      </c>
      <c r="B98" s="2">
        <v>1965.15</v>
      </c>
      <c r="C98" s="1">
        <v>39478</v>
      </c>
      <c r="D98" s="2">
        <v>226.05240000000001</v>
      </c>
      <c r="E98" s="1">
        <v>39478</v>
      </c>
      <c r="F98" s="2">
        <v>206.71199999999999</v>
      </c>
      <c r="G98" s="1">
        <v>39478</v>
      </c>
      <c r="H98" s="2">
        <v>249.9949</v>
      </c>
      <c r="I98" s="1">
        <v>39507</v>
      </c>
      <c r="J98" s="2">
        <v>129.5214</v>
      </c>
      <c r="K98" s="1">
        <v>39478</v>
      </c>
      <c r="L98" s="2">
        <v>139.82810000000001</v>
      </c>
      <c r="M98" s="1">
        <v>39478</v>
      </c>
      <c r="N98" s="2">
        <v>120.6639</v>
      </c>
      <c r="O98" s="1">
        <v>39507</v>
      </c>
      <c r="P98" s="2">
        <v>120.3874</v>
      </c>
      <c r="Q98" s="1">
        <v>39478</v>
      </c>
      <c r="R98" s="2">
        <v>151.89429999999999</v>
      </c>
      <c r="S98" s="1">
        <v>39478</v>
      </c>
      <c r="T98" s="2">
        <v>347.90260000000001</v>
      </c>
      <c r="U98" s="1">
        <v>39478</v>
      </c>
      <c r="V98" s="2">
        <v>255.91800000000001</v>
      </c>
      <c r="W98" s="1">
        <v>39478</v>
      </c>
      <c r="X98" s="2">
        <v>1455.66</v>
      </c>
      <c r="Y98" s="1">
        <v>39478</v>
      </c>
      <c r="Z98" s="2">
        <v>150.18899999999999</v>
      </c>
      <c r="AA98" s="1">
        <v>39843</v>
      </c>
      <c r="AB98" s="2">
        <v>237.69390000000001</v>
      </c>
      <c r="AC98" s="1">
        <v>39478</v>
      </c>
      <c r="AD98" s="2">
        <v>371.47140000000002</v>
      </c>
      <c r="AE98" s="1">
        <v>39843</v>
      </c>
      <c r="AF98" s="2">
        <v>173.3399</v>
      </c>
      <c r="AG98" s="1">
        <v>39843</v>
      </c>
      <c r="AH98" s="2">
        <v>231.9299</v>
      </c>
      <c r="AI98" s="1">
        <v>39843</v>
      </c>
      <c r="AJ98" s="2">
        <v>309.565</v>
      </c>
      <c r="AK98" s="1">
        <v>39478</v>
      </c>
      <c r="AL98" s="2">
        <v>3350.82</v>
      </c>
      <c r="AM98" s="1">
        <v>39478</v>
      </c>
      <c r="AN98" s="2">
        <v>877.5</v>
      </c>
      <c r="AO98" s="1">
        <v>39478</v>
      </c>
      <c r="AP98" s="2">
        <v>1704.47</v>
      </c>
      <c r="AQ98" s="1">
        <v>39478</v>
      </c>
      <c r="AR98" s="2">
        <v>1027.77</v>
      </c>
      <c r="AS98" s="1">
        <v>39478</v>
      </c>
      <c r="AT98" s="2">
        <v>5712.13</v>
      </c>
      <c r="AU98" s="1">
        <v>39478</v>
      </c>
      <c r="AV98" s="2">
        <v>2436.98</v>
      </c>
      <c r="AW98" s="1">
        <v>40939</v>
      </c>
      <c r="AX98" s="2">
        <v>3195.56</v>
      </c>
      <c r="AY98" s="1">
        <v>40877</v>
      </c>
      <c r="AZ98" s="2">
        <v>80.47</v>
      </c>
      <c r="BA98" s="1">
        <v>44561</v>
      </c>
      <c r="BB98" s="2">
        <v>1868.53</v>
      </c>
      <c r="BC98" s="1">
        <v>39478</v>
      </c>
      <c r="BD98" s="2">
        <v>2.04</v>
      </c>
      <c r="BE98" s="1">
        <v>39478</v>
      </c>
      <c r="BF98" s="2">
        <v>84.977000000000004</v>
      </c>
      <c r="BG98" s="1">
        <v>39478</v>
      </c>
      <c r="BH98" s="2">
        <v>170.60400000000001</v>
      </c>
      <c r="BI98" s="1">
        <v>39478</v>
      </c>
      <c r="BJ98" s="2">
        <v>157.952</v>
      </c>
      <c r="BK98" s="1">
        <v>39478</v>
      </c>
      <c r="BL98" s="2">
        <v>757.45550000000003</v>
      </c>
      <c r="BM98" s="1">
        <v>40998</v>
      </c>
      <c r="BN98" s="2">
        <v>1557.47</v>
      </c>
      <c r="BO98" s="1">
        <v>41089</v>
      </c>
      <c r="BP98" s="2">
        <v>194.3</v>
      </c>
    </row>
    <row r="99" spans="1:68" x14ac:dyDescent="0.25">
      <c r="A99" s="1">
        <v>39507</v>
      </c>
      <c r="B99" s="2">
        <v>2106.0329999999999</v>
      </c>
      <c r="C99" s="1">
        <v>39507</v>
      </c>
      <c r="D99" s="2">
        <v>225.89570000000001</v>
      </c>
      <c r="E99" s="1">
        <v>39507</v>
      </c>
      <c r="F99" s="2">
        <v>210.619</v>
      </c>
      <c r="G99" s="1">
        <v>39507</v>
      </c>
      <c r="H99" s="2">
        <v>252.2278</v>
      </c>
      <c r="I99" s="1">
        <v>39538</v>
      </c>
      <c r="J99" s="2">
        <v>129.72669999999999</v>
      </c>
      <c r="K99" s="1">
        <v>39507</v>
      </c>
      <c r="L99" s="2">
        <v>139.97980000000001</v>
      </c>
      <c r="M99" s="1">
        <v>39507</v>
      </c>
      <c r="N99" s="2">
        <v>122.0596</v>
      </c>
      <c r="O99" s="1">
        <v>39538</v>
      </c>
      <c r="P99" s="2">
        <v>119.72069999999999</v>
      </c>
      <c r="Q99" s="1">
        <v>39507</v>
      </c>
      <c r="R99" s="2">
        <v>154.87289999999999</v>
      </c>
      <c r="S99" s="1">
        <v>39507</v>
      </c>
      <c r="T99" s="2">
        <v>348.91500000000002</v>
      </c>
      <c r="U99" s="1">
        <v>39507</v>
      </c>
      <c r="V99" s="2">
        <v>260.7088</v>
      </c>
      <c r="W99" s="1">
        <v>39507</v>
      </c>
      <c r="X99" s="2">
        <v>1455.9</v>
      </c>
      <c r="Y99" s="1">
        <v>39507</v>
      </c>
      <c r="Z99" s="2">
        <v>189.578</v>
      </c>
      <c r="AA99" s="1">
        <v>39871</v>
      </c>
      <c r="AB99" s="2">
        <v>228.91739999999999</v>
      </c>
      <c r="AC99" s="1">
        <v>39507</v>
      </c>
      <c r="AD99" s="2">
        <v>417.40820000000002</v>
      </c>
      <c r="AE99" s="1">
        <v>39871</v>
      </c>
      <c r="AF99" s="2">
        <v>161.83930000000001</v>
      </c>
      <c r="AG99" s="1">
        <v>39871</v>
      </c>
      <c r="AH99" s="2">
        <v>217.52619999999999</v>
      </c>
      <c r="AI99" s="1">
        <v>39871</v>
      </c>
      <c r="AJ99" s="2">
        <v>316.06229999999999</v>
      </c>
      <c r="AK99" s="1">
        <v>39507</v>
      </c>
      <c r="AL99" s="2">
        <v>3331.42</v>
      </c>
      <c r="AM99" s="1">
        <v>39507</v>
      </c>
      <c r="AN99" s="2">
        <v>886.6</v>
      </c>
      <c r="AO99" s="1">
        <v>39507</v>
      </c>
      <c r="AP99" s="2">
        <v>1684.55</v>
      </c>
      <c r="AQ99" s="1">
        <v>39507</v>
      </c>
      <c r="AR99" s="2">
        <v>1046.8599999999999</v>
      </c>
      <c r="AS99" s="1">
        <v>39507</v>
      </c>
      <c r="AT99" s="2">
        <v>5588.79</v>
      </c>
      <c r="AU99" s="1">
        <v>39507</v>
      </c>
      <c r="AV99" s="2">
        <v>2460.8000000000002</v>
      </c>
      <c r="AW99" s="1">
        <v>40968</v>
      </c>
      <c r="AX99" s="2">
        <v>3279.06</v>
      </c>
      <c r="AY99" s="1">
        <v>40907</v>
      </c>
      <c r="AZ99" s="2">
        <v>78.05</v>
      </c>
      <c r="BA99" s="1">
        <v>44592</v>
      </c>
      <c r="BB99" s="2">
        <v>1838.74</v>
      </c>
      <c r="BC99" s="1">
        <v>39507</v>
      </c>
      <c r="BD99" s="2">
        <v>2.25</v>
      </c>
      <c r="BE99" s="1">
        <v>39507</v>
      </c>
      <c r="BF99" s="2">
        <v>104.94799999999999</v>
      </c>
      <c r="BG99" s="1">
        <v>39507</v>
      </c>
      <c r="BH99" s="2">
        <v>167.63</v>
      </c>
      <c r="BI99" s="1">
        <v>39507</v>
      </c>
      <c r="BJ99" s="2">
        <v>193.97499999999999</v>
      </c>
      <c r="BK99" s="1">
        <v>39507</v>
      </c>
      <c r="BL99" s="2">
        <v>775.96659999999997</v>
      </c>
      <c r="BM99" s="1">
        <v>41029</v>
      </c>
      <c r="BN99" s="2">
        <v>1549.2560000000001</v>
      </c>
      <c r="BO99" s="1">
        <v>41121</v>
      </c>
      <c r="BP99" s="2">
        <v>196.73</v>
      </c>
    </row>
    <row r="100" spans="1:68" x14ac:dyDescent="0.25">
      <c r="A100" s="1">
        <v>39538</v>
      </c>
      <c r="B100" s="2">
        <v>2077.0700000000002</v>
      </c>
      <c r="C100" s="1">
        <v>39538</v>
      </c>
      <c r="D100" s="2">
        <v>216.2124</v>
      </c>
      <c r="E100" s="1">
        <v>39538</v>
      </c>
      <c r="F100" s="2">
        <v>203.41</v>
      </c>
      <c r="G100" s="1">
        <v>39538</v>
      </c>
      <c r="H100" s="2">
        <v>250.96029999999999</v>
      </c>
      <c r="I100" s="1">
        <v>39568</v>
      </c>
      <c r="J100" s="2">
        <v>128.84960000000001</v>
      </c>
      <c r="K100" s="1">
        <v>39538</v>
      </c>
      <c r="L100" s="2">
        <v>140.2499</v>
      </c>
      <c r="M100" s="1">
        <v>39538</v>
      </c>
      <c r="N100" s="2">
        <v>122.2038</v>
      </c>
      <c r="O100" s="1">
        <v>39568</v>
      </c>
      <c r="P100" s="2">
        <v>120.0359</v>
      </c>
      <c r="Q100" s="1">
        <v>39538</v>
      </c>
      <c r="R100" s="2">
        <v>156.85470000000001</v>
      </c>
      <c r="S100" s="1">
        <v>39538</v>
      </c>
      <c r="T100" s="2">
        <v>348.70350000000002</v>
      </c>
      <c r="U100" s="1">
        <v>39538</v>
      </c>
      <c r="V100" s="2">
        <v>265.26459999999997</v>
      </c>
      <c r="W100" s="1">
        <v>39538</v>
      </c>
      <c r="X100" s="2">
        <v>1464.08</v>
      </c>
      <c r="Y100" s="1">
        <v>39538</v>
      </c>
      <c r="Z100" s="2">
        <v>182.11500000000001</v>
      </c>
      <c r="AA100" s="1">
        <v>39903</v>
      </c>
      <c r="AB100" s="2">
        <v>240.8828</v>
      </c>
      <c r="AC100" s="1">
        <v>39538</v>
      </c>
      <c r="AD100" s="2">
        <v>392.75790000000001</v>
      </c>
      <c r="AE100" s="1">
        <v>39903</v>
      </c>
      <c r="AF100" s="2">
        <v>168.7055</v>
      </c>
      <c r="AG100" s="1">
        <v>39903</v>
      </c>
      <c r="AH100" s="2">
        <v>230.10650000000001</v>
      </c>
      <c r="AI100" s="1">
        <v>39903</v>
      </c>
      <c r="AJ100" s="2">
        <v>310.27839999999998</v>
      </c>
      <c r="AK100" s="1">
        <v>39538</v>
      </c>
      <c r="AL100" s="2">
        <v>3299.49</v>
      </c>
      <c r="AM100" s="1">
        <v>39538</v>
      </c>
      <c r="AN100" s="2">
        <v>872.13</v>
      </c>
      <c r="AO100" s="1">
        <v>39538</v>
      </c>
      <c r="AP100" s="2">
        <v>1670.8</v>
      </c>
      <c r="AQ100" s="1">
        <v>39538</v>
      </c>
      <c r="AR100" s="2">
        <v>1032.9000000000001</v>
      </c>
      <c r="AS100" s="1">
        <v>39538</v>
      </c>
      <c r="AT100" s="2">
        <v>5551.94</v>
      </c>
      <c r="AU100" s="1">
        <v>39538</v>
      </c>
      <c r="AV100" s="2">
        <v>2430.23</v>
      </c>
      <c r="AW100" s="1">
        <v>40998</v>
      </c>
      <c r="AX100" s="2">
        <v>3244.51</v>
      </c>
      <c r="AY100" s="1">
        <v>40939</v>
      </c>
      <c r="AZ100" s="2">
        <v>85.07</v>
      </c>
      <c r="BA100" s="1">
        <v>44620</v>
      </c>
      <c r="BB100" s="2">
        <v>1847.67</v>
      </c>
      <c r="BC100" s="1">
        <v>39538</v>
      </c>
      <c r="BD100" s="2">
        <v>2.59</v>
      </c>
      <c r="BE100" s="1">
        <v>39538</v>
      </c>
      <c r="BF100" s="2">
        <v>97.052999999999997</v>
      </c>
      <c r="BG100" s="1">
        <v>39538</v>
      </c>
      <c r="BH100" s="2">
        <v>208.89</v>
      </c>
      <c r="BI100" s="1">
        <v>39538</v>
      </c>
      <c r="BJ100" s="2">
        <v>185.267</v>
      </c>
      <c r="BK100" s="1">
        <v>39538</v>
      </c>
      <c r="BL100" s="2">
        <v>800.95640000000003</v>
      </c>
      <c r="BM100" s="1">
        <v>41060</v>
      </c>
      <c r="BN100" s="2">
        <v>1415.88</v>
      </c>
      <c r="BO100" s="1">
        <v>41152</v>
      </c>
      <c r="BP100" s="2">
        <v>206.09</v>
      </c>
    </row>
    <row r="101" spans="1:68" x14ac:dyDescent="0.25">
      <c r="A101" s="1">
        <v>39568</v>
      </c>
      <c r="B101" s="2">
        <v>2041.4290000000001</v>
      </c>
      <c r="C101" s="1">
        <v>39568</v>
      </c>
      <c r="D101" s="2">
        <v>225.8741</v>
      </c>
      <c r="E101" s="1">
        <v>39568</v>
      </c>
      <c r="F101" s="2">
        <v>211.60599999999999</v>
      </c>
      <c r="G101" s="1">
        <v>39568</v>
      </c>
      <c r="H101" s="2">
        <v>257.82740000000001</v>
      </c>
      <c r="I101" s="1">
        <v>39598</v>
      </c>
      <c r="J101" s="2">
        <v>129.48050000000001</v>
      </c>
      <c r="K101" s="1">
        <v>39568</v>
      </c>
      <c r="L101" s="2">
        <v>138.25200000000001</v>
      </c>
      <c r="M101" s="1">
        <v>39568</v>
      </c>
      <c r="N101" s="2">
        <v>119.57129999999999</v>
      </c>
      <c r="O101" s="1">
        <v>39598</v>
      </c>
      <c r="P101" s="2">
        <v>121.29089999999999</v>
      </c>
      <c r="Q101" s="1">
        <v>39568</v>
      </c>
      <c r="R101" s="2">
        <v>156.37970000000001</v>
      </c>
      <c r="S101" s="1">
        <v>39568</v>
      </c>
      <c r="T101" s="2">
        <v>346.80990000000003</v>
      </c>
      <c r="U101" s="1">
        <v>39568</v>
      </c>
      <c r="V101" s="2">
        <v>259.47930000000002</v>
      </c>
      <c r="W101" s="1">
        <v>39568</v>
      </c>
      <c r="X101" s="2">
        <v>1465.48</v>
      </c>
      <c r="Y101" s="1">
        <v>39568</v>
      </c>
      <c r="Z101" s="2">
        <v>146.96100000000001</v>
      </c>
      <c r="AA101" s="1">
        <v>39933</v>
      </c>
      <c r="AB101" s="2">
        <v>246.39699999999999</v>
      </c>
      <c r="AC101" s="1">
        <v>39568</v>
      </c>
      <c r="AD101" s="2">
        <v>409.24540000000002</v>
      </c>
      <c r="AE101" s="1">
        <v>39933</v>
      </c>
      <c r="AF101" s="2">
        <v>172.94329999999999</v>
      </c>
      <c r="AG101" s="1">
        <v>39933</v>
      </c>
      <c r="AH101" s="2">
        <v>226.93459999999999</v>
      </c>
      <c r="AI101" s="1">
        <v>39933</v>
      </c>
      <c r="AJ101" s="2">
        <v>297.8888</v>
      </c>
      <c r="AK101" s="1">
        <v>39568</v>
      </c>
      <c r="AL101" s="2">
        <v>3472.91</v>
      </c>
      <c r="AM101" s="1">
        <v>39568</v>
      </c>
      <c r="AN101" s="2">
        <v>919.92</v>
      </c>
      <c r="AO101" s="1">
        <v>39568</v>
      </c>
      <c r="AP101" s="2">
        <v>1716.7</v>
      </c>
      <c r="AQ101" s="1">
        <v>39568</v>
      </c>
      <c r="AR101" s="2">
        <v>1101.71</v>
      </c>
      <c r="AS101" s="1">
        <v>39568</v>
      </c>
      <c r="AT101" s="2">
        <v>5827.3</v>
      </c>
      <c r="AU101" s="1">
        <v>39568</v>
      </c>
      <c r="AV101" s="2">
        <v>2564.8200000000002</v>
      </c>
      <c r="AW101" s="1">
        <v>41029</v>
      </c>
      <c r="AX101" s="2">
        <v>3256.37</v>
      </c>
      <c r="AY101" s="1">
        <v>40968</v>
      </c>
      <c r="AZ101" s="2">
        <v>88.9</v>
      </c>
      <c r="BA101" s="1">
        <v>44651</v>
      </c>
      <c r="BB101" s="2">
        <v>1880.5</v>
      </c>
      <c r="BC101" s="1">
        <v>39568</v>
      </c>
      <c r="BD101" s="2">
        <v>2.21</v>
      </c>
      <c r="BE101" s="1">
        <v>39568</v>
      </c>
      <c r="BF101" s="2">
        <v>71.897000000000006</v>
      </c>
      <c r="BG101" s="1">
        <v>39568</v>
      </c>
      <c r="BH101" s="2">
        <v>238.62799999999999</v>
      </c>
      <c r="BI101" s="1">
        <v>39568</v>
      </c>
      <c r="BJ101" s="2">
        <v>145.74700000000001</v>
      </c>
      <c r="BK101" s="1">
        <v>39568</v>
      </c>
      <c r="BL101" s="2">
        <v>775.02539999999999</v>
      </c>
      <c r="BM101" s="1">
        <v>41089</v>
      </c>
      <c r="BN101" s="2">
        <v>1474.296</v>
      </c>
      <c r="BO101" s="1">
        <v>41180</v>
      </c>
      <c r="BP101" s="2">
        <v>215.1</v>
      </c>
    </row>
    <row r="102" spans="1:68" x14ac:dyDescent="0.25">
      <c r="A102" s="1">
        <v>39598</v>
      </c>
      <c r="B102" s="2">
        <v>2094.21</v>
      </c>
      <c r="C102" s="1">
        <v>39598</v>
      </c>
      <c r="D102" s="2">
        <v>228.22630000000001</v>
      </c>
      <c r="E102" s="1">
        <v>39598</v>
      </c>
      <c r="F102" s="2">
        <v>214.953</v>
      </c>
      <c r="G102" s="1">
        <v>39598</v>
      </c>
      <c r="H102" s="2">
        <v>263.30829999999997</v>
      </c>
      <c r="I102" s="1">
        <v>39629</v>
      </c>
      <c r="J102" s="2">
        <v>130.94749999999999</v>
      </c>
      <c r="K102" s="1">
        <v>39598</v>
      </c>
      <c r="L102" s="2">
        <v>138.05350000000001</v>
      </c>
      <c r="M102" s="1">
        <v>39598</v>
      </c>
      <c r="N102" s="2">
        <v>119.66289999999999</v>
      </c>
      <c r="O102" s="1">
        <v>39629</v>
      </c>
      <c r="P102" s="2">
        <v>123.25830000000001</v>
      </c>
      <c r="Q102" s="1">
        <v>39598</v>
      </c>
      <c r="R102" s="2">
        <v>157.22489999999999</v>
      </c>
      <c r="S102" s="1">
        <v>39598</v>
      </c>
      <c r="T102" s="2">
        <v>343.61950000000002</v>
      </c>
      <c r="U102" s="1">
        <v>39598</v>
      </c>
      <c r="V102" s="2">
        <v>259.87439999999998</v>
      </c>
      <c r="W102" s="1">
        <v>39598</v>
      </c>
      <c r="X102" s="2">
        <v>1457.71</v>
      </c>
      <c r="Y102" s="1">
        <v>39598</v>
      </c>
      <c r="Z102" s="2">
        <v>145.71299999999999</v>
      </c>
      <c r="AA102" s="1">
        <v>39962</v>
      </c>
      <c r="AB102" s="2">
        <v>279.73939999999999</v>
      </c>
      <c r="AC102" s="1">
        <v>39598</v>
      </c>
      <c r="AD102" s="2">
        <v>423.76870000000002</v>
      </c>
      <c r="AE102" s="1">
        <v>39962</v>
      </c>
      <c r="AF102" s="2">
        <v>190.00020000000001</v>
      </c>
      <c r="AG102" s="1">
        <v>39962</v>
      </c>
      <c r="AH102" s="2">
        <v>278.6857</v>
      </c>
      <c r="AI102" s="1">
        <v>39962</v>
      </c>
      <c r="AJ102" s="2">
        <v>337.73039999999997</v>
      </c>
      <c r="AK102" s="1">
        <v>39598</v>
      </c>
      <c r="AL102" s="2">
        <v>3525.86</v>
      </c>
      <c r="AM102" s="1">
        <v>39598</v>
      </c>
      <c r="AN102" s="2">
        <v>941.57</v>
      </c>
      <c r="AO102" s="1">
        <v>39598</v>
      </c>
      <c r="AP102" s="2">
        <v>1735.25</v>
      </c>
      <c r="AQ102" s="1">
        <v>39598</v>
      </c>
      <c r="AR102" s="2">
        <v>1133.3900000000001</v>
      </c>
      <c r="AS102" s="1">
        <v>39598</v>
      </c>
      <c r="AT102" s="2">
        <v>5809.87</v>
      </c>
      <c r="AU102" s="1">
        <v>39598</v>
      </c>
      <c r="AV102" s="2">
        <v>2648.33</v>
      </c>
      <c r="AW102" s="1">
        <v>41060</v>
      </c>
      <c r="AX102" s="2">
        <v>3163.96</v>
      </c>
      <c r="AY102" s="1">
        <v>40998</v>
      </c>
      <c r="AZ102" s="2">
        <v>90.22</v>
      </c>
      <c r="BA102" s="1">
        <v>44680</v>
      </c>
      <c r="BB102" s="2">
        <v>1832.49</v>
      </c>
      <c r="BC102" s="1">
        <v>39598</v>
      </c>
      <c r="BD102" s="2">
        <v>2.11</v>
      </c>
      <c r="BE102" s="1">
        <v>39598</v>
      </c>
      <c r="BF102" s="2">
        <v>64.427999999999997</v>
      </c>
      <c r="BG102" s="1">
        <v>39598</v>
      </c>
      <c r="BH102" s="2">
        <v>216.262</v>
      </c>
      <c r="BI102" s="1">
        <v>39598</v>
      </c>
      <c r="BJ102" s="2">
        <v>130.56399999999999</v>
      </c>
      <c r="BK102" s="1">
        <v>39598</v>
      </c>
      <c r="BL102" s="2">
        <v>763.66359999999997</v>
      </c>
      <c r="BM102" s="1">
        <v>41121</v>
      </c>
      <c r="BN102" s="2">
        <v>1496.76</v>
      </c>
      <c r="BO102" s="1">
        <v>41213</v>
      </c>
      <c r="BP102" s="2">
        <v>210.91</v>
      </c>
    </row>
    <row r="103" spans="1:68" x14ac:dyDescent="0.25">
      <c r="A103" s="1">
        <v>39629</v>
      </c>
      <c r="B103" s="2">
        <v>2207.183</v>
      </c>
      <c r="C103" s="1">
        <v>39629</v>
      </c>
      <c r="D103" s="2">
        <v>226.1371</v>
      </c>
      <c r="E103" s="1">
        <v>39629</v>
      </c>
      <c r="F103" s="2">
        <v>212.73</v>
      </c>
      <c r="G103" s="1">
        <v>39629</v>
      </c>
      <c r="H103" s="2">
        <v>265.82979999999998</v>
      </c>
      <c r="I103" s="1">
        <v>39660</v>
      </c>
      <c r="J103" s="2">
        <v>129.6241</v>
      </c>
      <c r="K103" s="1">
        <v>39629</v>
      </c>
      <c r="L103" s="2">
        <v>140.9682</v>
      </c>
      <c r="M103" s="1">
        <v>39629</v>
      </c>
      <c r="N103" s="2">
        <v>119.8565</v>
      </c>
      <c r="O103" s="1">
        <v>39660</v>
      </c>
      <c r="P103" s="2">
        <v>120.3379</v>
      </c>
      <c r="Q103" s="1">
        <v>39629</v>
      </c>
      <c r="R103" s="2">
        <v>157.88079999999999</v>
      </c>
      <c r="S103" s="1">
        <v>39629</v>
      </c>
      <c r="T103" s="2">
        <v>342.52870000000001</v>
      </c>
      <c r="U103" s="1">
        <v>39629</v>
      </c>
      <c r="V103" s="2">
        <v>264.54559999999998</v>
      </c>
      <c r="W103" s="1">
        <v>39629</v>
      </c>
      <c r="X103" s="2">
        <v>1456.88</v>
      </c>
      <c r="Y103" s="1">
        <v>39629</v>
      </c>
      <c r="Z103" s="2">
        <v>135.25700000000001</v>
      </c>
      <c r="AA103" s="1">
        <v>39994</v>
      </c>
      <c r="AB103" s="2">
        <v>276.57350000000002</v>
      </c>
      <c r="AC103" s="1">
        <v>39629</v>
      </c>
      <c r="AD103" s="2">
        <v>464.80329999999998</v>
      </c>
      <c r="AE103" s="1">
        <v>39994</v>
      </c>
      <c r="AF103" s="2">
        <v>173.7499</v>
      </c>
      <c r="AG103" s="1">
        <v>39994</v>
      </c>
      <c r="AH103" s="2">
        <v>290.09710000000001</v>
      </c>
      <c r="AI103" s="1">
        <v>39994</v>
      </c>
      <c r="AJ103" s="2">
        <v>313.47949999999997</v>
      </c>
      <c r="AK103" s="1">
        <v>39629</v>
      </c>
      <c r="AL103" s="2">
        <v>3244.65</v>
      </c>
      <c r="AM103" s="1">
        <v>39629</v>
      </c>
      <c r="AN103" s="2">
        <v>891.56</v>
      </c>
      <c r="AO103" s="1">
        <v>39629</v>
      </c>
      <c r="AP103" s="2">
        <v>1623.47</v>
      </c>
      <c r="AQ103" s="1">
        <v>39629</v>
      </c>
      <c r="AR103" s="2">
        <v>1113.95</v>
      </c>
      <c r="AS103" s="1">
        <v>39629</v>
      </c>
      <c r="AT103" s="2">
        <v>5257.14</v>
      </c>
      <c r="AU103" s="1">
        <v>39629</v>
      </c>
      <c r="AV103" s="2">
        <v>2476.77</v>
      </c>
      <c r="AW103" s="1">
        <v>41089</v>
      </c>
      <c r="AX103" s="2">
        <v>3252.37</v>
      </c>
      <c r="AY103" s="1">
        <v>41029</v>
      </c>
      <c r="AZ103" s="2">
        <v>88.28</v>
      </c>
      <c r="BA103" s="1">
        <v>44712</v>
      </c>
      <c r="BB103" s="2">
        <v>1830.97</v>
      </c>
      <c r="BC103" s="1">
        <v>39629</v>
      </c>
      <c r="BD103" s="2">
        <v>2.38</v>
      </c>
      <c r="BE103" s="1">
        <v>39629</v>
      </c>
      <c r="BF103" s="2">
        <v>64.174000000000007</v>
      </c>
      <c r="BG103" s="1">
        <v>39629</v>
      </c>
      <c r="BH103" s="2">
        <v>223.523</v>
      </c>
      <c r="BI103" s="1">
        <v>39629</v>
      </c>
      <c r="BJ103" s="2">
        <v>119.76300000000001</v>
      </c>
      <c r="BK103" s="1">
        <v>39629</v>
      </c>
      <c r="BL103" s="2">
        <v>767.07690000000002</v>
      </c>
      <c r="BM103" s="1">
        <v>41152</v>
      </c>
      <c r="BN103" s="2">
        <v>1538.768</v>
      </c>
      <c r="BO103" s="1">
        <v>41243</v>
      </c>
      <c r="BP103" s="2">
        <v>220.73</v>
      </c>
    </row>
    <row r="104" spans="1:68" x14ac:dyDescent="0.25">
      <c r="A104" s="1">
        <v>39660</v>
      </c>
      <c r="B104" s="2">
        <v>2095.7800000000002</v>
      </c>
      <c r="C104" s="1">
        <v>39660</v>
      </c>
      <c r="D104" s="2">
        <v>231.49690000000001</v>
      </c>
      <c r="E104" s="1">
        <v>39660</v>
      </c>
      <c r="F104" s="2">
        <v>212.517</v>
      </c>
      <c r="G104" s="1">
        <v>39660</v>
      </c>
      <c r="H104" s="2">
        <v>274.92169999999999</v>
      </c>
      <c r="I104" s="1">
        <v>39689</v>
      </c>
      <c r="J104" s="2">
        <v>128.81559999999999</v>
      </c>
      <c r="K104" s="1">
        <v>39660</v>
      </c>
      <c r="L104" s="2">
        <v>141.38919999999999</v>
      </c>
      <c r="M104" s="1">
        <v>39660</v>
      </c>
      <c r="N104" s="2">
        <v>118.2987</v>
      </c>
      <c r="O104" s="1">
        <v>39689</v>
      </c>
      <c r="P104" s="2">
        <v>119.51779999999999</v>
      </c>
      <c r="Q104" s="1">
        <v>39660</v>
      </c>
      <c r="R104" s="2">
        <v>158.08670000000001</v>
      </c>
      <c r="S104" s="1">
        <v>39660</v>
      </c>
      <c r="T104" s="2">
        <v>345.06790000000001</v>
      </c>
      <c r="U104" s="1">
        <v>39660</v>
      </c>
      <c r="V104" s="2">
        <v>263.01819999999998</v>
      </c>
      <c r="W104" s="1">
        <v>39660</v>
      </c>
      <c r="X104" s="2">
        <v>1454.85</v>
      </c>
      <c r="Y104" s="1">
        <v>39660</v>
      </c>
      <c r="Z104" s="2">
        <v>143.624</v>
      </c>
      <c r="AA104" s="1">
        <v>40025</v>
      </c>
      <c r="AB104" s="2">
        <v>287.90469999999999</v>
      </c>
      <c r="AC104" s="1">
        <v>39660</v>
      </c>
      <c r="AD104" s="2">
        <v>412.25319999999999</v>
      </c>
      <c r="AE104" s="1">
        <v>40025</v>
      </c>
      <c r="AF104" s="2">
        <v>173.89449999999999</v>
      </c>
      <c r="AG104" s="1">
        <v>40025</v>
      </c>
      <c r="AH104" s="2">
        <v>291.41050000000001</v>
      </c>
      <c r="AI104" s="1">
        <v>40025</v>
      </c>
      <c r="AJ104" s="2">
        <v>322.00639999999999</v>
      </c>
      <c r="AK104" s="1">
        <v>39660</v>
      </c>
      <c r="AL104" s="2">
        <v>3165.37</v>
      </c>
      <c r="AM104" s="1">
        <v>39660</v>
      </c>
      <c r="AN104" s="2">
        <v>863.97</v>
      </c>
      <c r="AO104" s="1">
        <v>39660</v>
      </c>
      <c r="AP104" s="2">
        <v>1625.66</v>
      </c>
      <c r="AQ104" s="1">
        <v>39660</v>
      </c>
      <c r="AR104" s="2">
        <v>1022.55</v>
      </c>
      <c r="AS104" s="1">
        <v>39660</v>
      </c>
      <c r="AT104" s="2">
        <v>5164.84</v>
      </c>
      <c r="AU104" s="1">
        <v>39660</v>
      </c>
      <c r="AV104" s="2">
        <v>2400.1999999999998</v>
      </c>
      <c r="AW104" s="1">
        <v>41121</v>
      </c>
      <c r="AX104" s="2">
        <v>3413.18</v>
      </c>
      <c r="AY104" s="1">
        <v>41060</v>
      </c>
      <c r="AZ104" s="2">
        <v>80.45</v>
      </c>
      <c r="BA104" s="1">
        <v>44742</v>
      </c>
      <c r="BB104" s="2">
        <v>1778.34</v>
      </c>
      <c r="BC104" s="1">
        <v>39660</v>
      </c>
      <c r="BD104" s="2">
        <v>2.58</v>
      </c>
      <c r="BE104" s="1">
        <v>39660</v>
      </c>
      <c r="BF104" s="2">
        <v>71.230999999999995</v>
      </c>
      <c r="BG104" s="1">
        <v>39660</v>
      </c>
      <c r="BH104" s="2">
        <v>231.99199999999999</v>
      </c>
      <c r="BI104" s="1">
        <v>39660</v>
      </c>
      <c r="BJ104" s="2">
        <v>133.73400000000001</v>
      </c>
      <c r="BK104" s="1">
        <v>39660</v>
      </c>
      <c r="BL104" s="2">
        <v>768.69770000000005</v>
      </c>
      <c r="BM104" s="1">
        <v>41180</v>
      </c>
      <c r="BN104" s="2">
        <v>1575.848</v>
      </c>
      <c r="BO104" s="1">
        <v>41274</v>
      </c>
      <c r="BP104" s="2">
        <v>214.5</v>
      </c>
    </row>
    <row r="105" spans="1:68" x14ac:dyDescent="0.25">
      <c r="A105" s="1">
        <v>39689</v>
      </c>
      <c r="B105" s="2">
        <v>2035.0039999999999</v>
      </c>
      <c r="C105" s="1">
        <v>39689</v>
      </c>
      <c r="D105" s="2">
        <v>228.55109999999999</v>
      </c>
      <c r="E105" s="1">
        <v>39689</v>
      </c>
      <c r="F105" s="2">
        <v>203.613</v>
      </c>
      <c r="G105" s="1">
        <v>39689</v>
      </c>
      <c r="H105" s="2">
        <v>265.13940000000002</v>
      </c>
      <c r="I105" s="1">
        <v>39721</v>
      </c>
      <c r="J105" s="2">
        <v>129.59229999999999</v>
      </c>
      <c r="K105" s="1">
        <v>39689</v>
      </c>
      <c r="L105" s="2">
        <v>140.9359</v>
      </c>
      <c r="M105" s="1">
        <v>39689</v>
      </c>
      <c r="N105" s="2">
        <v>118.51739999999999</v>
      </c>
      <c r="O105" s="1">
        <v>39721</v>
      </c>
      <c r="P105" s="2">
        <v>120.3837</v>
      </c>
      <c r="Q105" s="1">
        <v>39689</v>
      </c>
      <c r="R105" s="2">
        <v>155.58860000000001</v>
      </c>
      <c r="S105" s="1">
        <v>39689</v>
      </c>
      <c r="T105" s="2">
        <v>348.50069999999999</v>
      </c>
      <c r="U105" s="1">
        <v>39689</v>
      </c>
      <c r="V105" s="2">
        <v>257.01839999999999</v>
      </c>
      <c r="W105" s="1">
        <v>39689</v>
      </c>
      <c r="X105" s="2">
        <v>1473.05</v>
      </c>
      <c r="Y105" s="1">
        <v>39689</v>
      </c>
      <c r="Z105" s="2">
        <v>149.07400000000001</v>
      </c>
      <c r="AA105" s="1">
        <v>40056</v>
      </c>
      <c r="AB105" s="2">
        <v>290.28489999999999</v>
      </c>
      <c r="AC105" s="1">
        <v>39689</v>
      </c>
      <c r="AD105" s="2">
        <v>383.80040000000002</v>
      </c>
      <c r="AE105" s="1">
        <v>40056</v>
      </c>
      <c r="AF105" s="2">
        <v>172.5643</v>
      </c>
      <c r="AG105" s="1">
        <v>40056</v>
      </c>
      <c r="AH105" s="2">
        <v>281.48669999999998</v>
      </c>
      <c r="AI105" s="1">
        <v>40056</v>
      </c>
      <c r="AJ105" s="2">
        <v>326.26310000000001</v>
      </c>
      <c r="AK105" s="1">
        <v>39689</v>
      </c>
      <c r="AL105" s="2">
        <v>3120.9</v>
      </c>
      <c r="AM105" s="1">
        <v>39689</v>
      </c>
      <c r="AN105" s="2">
        <v>860.23</v>
      </c>
      <c r="AO105" s="1">
        <v>39689</v>
      </c>
      <c r="AP105" s="2">
        <v>1625.63</v>
      </c>
      <c r="AQ105" s="1">
        <v>39689</v>
      </c>
      <c r="AR105" s="2">
        <v>997.57</v>
      </c>
      <c r="AS105" s="1">
        <v>39689</v>
      </c>
      <c r="AT105" s="2">
        <v>5112.74</v>
      </c>
      <c r="AU105" s="1">
        <v>39689</v>
      </c>
      <c r="AV105" s="2">
        <v>2357.41</v>
      </c>
      <c r="AW105" s="1">
        <v>41152</v>
      </c>
      <c r="AX105" s="2">
        <v>3492.31</v>
      </c>
      <c r="AY105" s="1">
        <v>41089</v>
      </c>
      <c r="AZ105" s="2">
        <v>86.03</v>
      </c>
      <c r="BA105" s="1">
        <v>44771</v>
      </c>
      <c r="BB105" s="2">
        <v>1831.29</v>
      </c>
      <c r="BC105" s="1">
        <v>39689</v>
      </c>
      <c r="BD105" s="2">
        <v>2.71</v>
      </c>
      <c r="BE105" s="1">
        <v>39689</v>
      </c>
      <c r="BF105" s="2">
        <v>74.146000000000001</v>
      </c>
      <c r="BG105" s="1">
        <v>39689</v>
      </c>
      <c r="BH105" s="2">
        <v>214.56</v>
      </c>
      <c r="BI105" s="1">
        <v>39689</v>
      </c>
      <c r="BJ105" s="2">
        <v>135.11699999999999</v>
      </c>
      <c r="BK105" s="1">
        <v>39689</v>
      </c>
      <c r="BL105" s="2">
        <v>753.27530000000002</v>
      </c>
      <c r="BM105" s="1">
        <v>41213</v>
      </c>
      <c r="BN105" s="2">
        <v>1551.414</v>
      </c>
      <c r="BO105" s="1">
        <v>41305</v>
      </c>
      <c r="BP105" s="2">
        <v>224.74</v>
      </c>
    </row>
    <row r="106" spans="1:68" x14ac:dyDescent="0.25">
      <c r="A106" s="1">
        <v>39721</v>
      </c>
      <c r="B106" s="2">
        <v>2054.8670000000002</v>
      </c>
      <c r="C106" s="1">
        <v>39721</v>
      </c>
      <c r="D106" s="2">
        <v>213.58449999999999</v>
      </c>
      <c r="E106" s="1">
        <v>39721</v>
      </c>
      <c r="F106" s="2">
        <v>187.233</v>
      </c>
      <c r="G106" s="1">
        <v>39721</v>
      </c>
      <c r="H106" s="2">
        <v>247.3997</v>
      </c>
      <c r="I106" s="1">
        <v>39752</v>
      </c>
      <c r="J106" s="2">
        <v>133.46950000000001</v>
      </c>
      <c r="K106" s="1">
        <v>39721</v>
      </c>
      <c r="L106" s="2">
        <v>146.56209999999999</v>
      </c>
      <c r="M106" s="1">
        <v>39721</v>
      </c>
      <c r="N106" s="2">
        <v>117.2641</v>
      </c>
      <c r="O106" s="1">
        <v>39752</v>
      </c>
      <c r="P106" s="2">
        <v>125.6635</v>
      </c>
      <c r="Q106" s="1">
        <v>39721</v>
      </c>
      <c r="R106" s="2">
        <v>154.45310000000001</v>
      </c>
      <c r="S106" s="1">
        <v>39721</v>
      </c>
      <c r="T106" s="2">
        <v>345.34500000000003</v>
      </c>
      <c r="U106" s="1">
        <v>39721</v>
      </c>
      <c r="V106" s="2">
        <v>243.80869999999999</v>
      </c>
      <c r="W106" s="1">
        <v>39721</v>
      </c>
      <c r="X106" s="2">
        <v>1484.13</v>
      </c>
      <c r="Y106" s="1">
        <v>39721</v>
      </c>
      <c r="Z106" s="2">
        <v>186.041</v>
      </c>
      <c r="AA106" s="1">
        <v>40086</v>
      </c>
      <c r="AB106" s="2">
        <v>292.62139999999999</v>
      </c>
      <c r="AC106" s="1">
        <v>39721</v>
      </c>
      <c r="AD106" s="2">
        <v>339.56790000000001</v>
      </c>
      <c r="AE106" s="1">
        <v>40086</v>
      </c>
      <c r="AF106" s="2">
        <v>169.792</v>
      </c>
      <c r="AG106" s="1">
        <v>40086</v>
      </c>
      <c r="AH106" s="2">
        <v>280.12700000000001</v>
      </c>
      <c r="AI106" s="1">
        <v>40086</v>
      </c>
      <c r="AJ106" s="2">
        <v>349.73649999999998</v>
      </c>
      <c r="AK106" s="1">
        <v>39721</v>
      </c>
      <c r="AL106" s="2">
        <v>2749.71</v>
      </c>
      <c r="AM106" s="1">
        <v>39721</v>
      </c>
      <c r="AN106" s="2">
        <v>765.45</v>
      </c>
      <c r="AO106" s="1">
        <v>39721</v>
      </c>
      <c r="AP106" s="2">
        <v>1525.44</v>
      </c>
      <c r="AQ106" s="1">
        <v>39721</v>
      </c>
      <c r="AR106" s="2">
        <v>830.95</v>
      </c>
      <c r="AS106" s="1">
        <v>39721</v>
      </c>
      <c r="AT106" s="2">
        <v>4601.2299999999996</v>
      </c>
      <c r="AU106" s="1">
        <v>39721</v>
      </c>
      <c r="AV106" s="2">
        <v>2034.17</v>
      </c>
      <c r="AW106" s="1">
        <v>41180</v>
      </c>
      <c r="AX106" s="2">
        <v>3505.35</v>
      </c>
      <c r="AY106" s="1">
        <v>41121</v>
      </c>
      <c r="AZ106" s="2">
        <v>87.18</v>
      </c>
      <c r="BA106" s="1">
        <v>44804</v>
      </c>
      <c r="BB106" s="2">
        <v>1858.17</v>
      </c>
      <c r="BC106" s="1">
        <v>39721</v>
      </c>
      <c r="BD106" s="2">
        <v>3.85</v>
      </c>
      <c r="BE106" s="1">
        <v>39721</v>
      </c>
      <c r="BF106" s="2">
        <v>84.852000000000004</v>
      </c>
      <c r="BG106" s="1">
        <v>39721</v>
      </c>
      <c r="BH106" s="2">
        <v>314.74200000000002</v>
      </c>
      <c r="BI106" s="1">
        <v>39721</v>
      </c>
      <c r="BJ106" s="2">
        <v>133.745</v>
      </c>
      <c r="BK106" s="1">
        <v>39721</v>
      </c>
      <c r="BL106" s="2">
        <v>744.32709999999997</v>
      </c>
      <c r="BM106" s="1">
        <v>41243</v>
      </c>
      <c r="BN106" s="2">
        <v>1583.8130000000001</v>
      </c>
      <c r="BO106" s="1">
        <v>41333</v>
      </c>
      <c r="BP106" s="2">
        <v>225.29</v>
      </c>
    </row>
    <row r="107" spans="1:68" x14ac:dyDescent="0.25">
      <c r="A107" s="1">
        <v>39752</v>
      </c>
      <c r="B107" s="2">
        <v>2205.1550000000002</v>
      </c>
      <c r="C107" s="1">
        <v>39752</v>
      </c>
      <c r="D107" s="2">
        <v>189.93549999999999</v>
      </c>
      <c r="E107" s="1">
        <v>39752</v>
      </c>
      <c r="F107" s="2">
        <v>166.78100000000001</v>
      </c>
      <c r="G107" s="1">
        <v>39752</v>
      </c>
      <c r="H107" s="2">
        <v>218.3252</v>
      </c>
      <c r="I107" s="1">
        <v>39780</v>
      </c>
      <c r="J107" s="2">
        <v>135.69640000000001</v>
      </c>
      <c r="K107" s="1">
        <v>39752</v>
      </c>
      <c r="L107" s="2">
        <v>153.54570000000001</v>
      </c>
      <c r="M107" s="1">
        <v>39752</v>
      </c>
      <c r="N107" s="2">
        <v>115.7812</v>
      </c>
      <c r="O107" s="1">
        <v>39780</v>
      </c>
      <c r="P107" s="2">
        <v>127.4242</v>
      </c>
      <c r="Q107" s="1">
        <v>39752</v>
      </c>
      <c r="R107" s="2">
        <v>160.18029999999999</v>
      </c>
      <c r="S107" s="1">
        <v>39752</v>
      </c>
      <c r="T107" s="2">
        <v>343.07830000000001</v>
      </c>
      <c r="U107" s="1">
        <v>39752</v>
      </c>
      <c r="V107" s="2">
        <v>214.7998</v>
      </c>
      <c r="W107" s="1">
        <v>39752</v>
      </c>
      <c r="X107" s="2">
        <v>1465.48</v>
      </c>
      <c r="Y107" s="1">
        <v>39752</v>
      </c>
      <c r="Z107" s="2">
        <v>239.84100000000001</v>
      </c>
      <c r="AA107" s="1">
        <v>40116</v>
      </c>
      <c r="AB107" s="2">
        <v>304.99029999999999</v>
      </c>
      <c r="AC107" s="1">
        <v>39752</v>
      </c>
      <c r="AD107" s="2">
        <v>269.78289999999998</v>
      </c>
      <c r="AE107" s="1">
        <v>40116</v>
      </c>
      <c r="AF107" s="2">
        <v>174.54130000000001</v>
      </c>
      <c r="AG107" s="1">
        <v>40116</v>
      </c>
      <c r="AH107" s="2">
        <v>302.02609999999999</v>
      </c>
      <c r="AI107" s="1">
        <v>40116</v>
      </c>
      <c r="AJ107" s="2">
        <v>355.80990000000003</v>
      </c>
      <c r="AK107" s="1">
        <v>39752</v>
      </c>
      <c r="AL107" s="2">
        <v>2228.36</v>
      </c>
      <c r="AM107" s="1">
        <v>39752</v>
      </c>
      <c r="AN107" s="2">
        <v>649.92999999999995</v>
      </c>
      <c r="AO107" s="1">
        <v>39752</v>
      </c>
      <c r="AP107" s="2">
        <v>1283.5</v>
      </c>
      <c r="AQ107" s="1">
        <v>39752</v>
      </c>
      <c r="AR107" s="2">
        <v>717.57</v>
      </c>
      <c r="AS107" s="1">
        <v>39752</v>
      </c>
      <c r="AT107" s="2">
        <v>3748.29</v>
      </c>
      <c r="AU107" s="1">
        <v>39752</v>
      </c>
      <c r="AV107" s="2">
        <v>1639.92</v>
      </c>
      <c r="AW107" s="1">
        <v>41213</v>
      </c>
      <c r="AX107" s="2">
        <v>3450.86</v>
      </c>
      <c r="AY107" s="1">
        <v>41152</v>
      </c>
      <c r="AZ107" s="2">
        <v>89.64</v>
      </c>
      <c r="BA107" s="1">
        <v>44834</v>
      </c>
      <c r="BB107" s="2">
        <v>1806.76</v>
      </c>
      <c r="BC107" s="1">
        <v>39752</v>
      </c>
      <c r="BD107" s="2">
        <v>5.01</v>
      </c>
      <c r="BE107" s="1">
        <v>39752</v>
      </c>
      <c r="BF107" s="2">
        <v>120.833</v>
      </c>
      <c r="BG107" s="1">
        <v>39752</v>
      </c>
      <c r="BH107" s="2">
        <v>361.63099999999997</v>
      </c>
      <c r="BI107" s="1">
        <v>39752</v>
      </c>
      <c r="BJ107" s="2">
        <v>162.00800000000001</v>
      </c>
      <c r="BK107" s="1">
        <v>39752</v>
      </c>
      <c r="BL107" s="2">
        <v>729.1567</v>
      </c>
      <c r="BM107" s="1">
        <v>41274</v>
      </c>
      <c r="BN107" s="2">
        <v>1601.6669999999999</v>
      </c>
      <c r="BO107" s="1">
        <v>41362</v>
      </c>
      <c r="BP107" s="2">
        <v>234.23</v>
      </c>
    </row>
    <row r="108" spans="1:68" x14ac:dyDescent="0.25">
      <c r="A108" s="1">
        <v>39780</v>
      </c>
      <c r="B108" s="2">
        <v>2267.3110000000001</v>
      </c>
      <c r="C108" s="1">
        <v>39780</v>
      </c>
      <c r="D108" s="2">
        <v>189.8365</v>
      </c>
      <c r="E108" s="1">
        <v>39780</v>
      </c>
      <c r="F108" s="2">
        <v>163.56299999999999</v>
      </c>
      <c r="G108" s="1">
        <v>39780</v>
      </c>
      <c r="H108" s="2">
        <v>210.03200000000001</v>
      </c>
      <c r="I108" s="1">
        <v>39813</v>
      </c>
      <c r="J108" s="2">
        <v>136.1831</v>
      </c>
      <c r="K108" s="1">
        <v>39780</v>
      </c>
      <c r="L108" s="2">
        <v>154.2261</v>
      </c>
      <c r="M108" s="1">
        <v>39780</v>
      </c>
      <c r="N108" s="2">
        <v>120.1996</v>
      </c>
      <c r="O108" s="1">
        <v>39813</v>
      </c>
      <c r="P108" s="2">
        <v>128.24789999999999</v>
      </c>
      <c r="Q108" s="1">
        <v>39780</v>
      </c>
      <c r="R108" s="2">
        <v>161.72739999999999</v>
      </c>
      <c r="S108" s="1">
        <v>39780</v>
      </c>
      <c r="T108" s="2">
        <v>352.3845</v>
      </c>
      <c r="U108" s="1">
        <v>39780</v>
      </c>
      <c r="V108" s="2">
        <v>212.51</v>
      </c>
      <c r="W108" s="1">
        <v>39780</v>
      </c>
      <c r="X108" s="2">
        <v>1523.05</v>
      </c>
      <c r="Y108" s="1">
        <v>39780</v>
      </c>
      <c r="Z108" s="2">
        <v>193.70400000000001</v>
      </c>
      <c r="AA108" s="1">
        <v>40147</v>
      </c>
      <c r="AB108" s="2">
        <v>320.10270000000003</v>
      </c>
      <c r="AC108" s="1">
        <v>39780</v>
      </c>
      <c r="AD108" s="2">
        <v>251.7243</v>
      </c>
      <c r="AE108" s="1">
        <v>40147</v>
      </c>
      <c r="AF108" s="2">
        <v>185.4871</v>
      </c>
      <c r="AG108" s="1">
        <v>40147</v>
      </c>
      <c r="AH108" s="2">
        <v>304.81849999999997</v>
      </c>
      <c r="AI108" s="1">
        <v>40147</v>
      </c>
      <c r="AJ108" s="2">
        <v>404.12819999999999</v>
      </c>
      <c r="AK108" s="1">
        <v>39780</v>
      </c>
      <c r="AL108" s="2">
        <v>2084.12</v>
      </c>
      <c r="AM108" s="1">
        <v>39780</v>
      </c>
      <c r="AN108" s="2">
        <v>620.37</v>
      </c>
      <c r="AO108" s="1">
        <v>39780</v>
      </c>
      <c r="AP108" s="2">
        <v>1239</v>
      </c>
      <c r="AQ108" s="1">
        <v>39780</v>
      </c>
      <c r="AR108" s="2">
        <v>667.72</v>
      </c>
      <c r="AS108" s="1">
        <v>39780</v>
      </c>
      <c r="AT108" s="2">
        <v>3549.08</v>
      </c>
      <c r="AU108" s="1">
        <v>39780</v>
      </c>
      <c r="AV108" s="2">
        <v>1514.65</v>
      </c>
      <c r="AW108" s="1">
        <v>41243</v>
      </c>
      <c r="AX108" s="2">
        <v>3524.26</v>
      </c>
      <c r="AY108" s="1">
        <v>41180</v>
      </c>
      <c r="AZ108" s="2">
        <v>92.48</v>
      </c>
      <c r="BA108" s="1">
        <v>44865</v>
      </c>
      <c r="BB108" s="2">
        <v>1879.71</v>
      </c>
      <c r="BC108" s="1">
        <v>39780</v>
      </c>
      <c r="BD108" s="2">
        <v>5.35</v>
      </c>
      <c r="BE108" s="1">
        <v>39780</v>
      </c>
      <c r="BF108" s="2">
        <v>107.191</v>
      </c>
      <c r="BG108" s="1">
        <v>39780</v>
      </c>
      <c r="BH108" s="2">
        <v>289.72500000000002</v>
      </c>
      <c r="BI108" s="1">
        <v>39780</v>
      </c>
      <c r="BJ108" s="2">
        <v>158.66</v>
      </c>
      <c r="BK108" s="1">
        <v>39780</v>
      </c>
      <c r="BL108" s="2">
        <v>756.13739999999996</v>
      </c>
      <c r="BM108" s="1">
        <v>41305</v>
      </c>
      <c r="BN108" s="2">
        <v>1671.046</v>
      </c>
      <c r="BO108" s="1">
        <v>41394</v>
      </c>
      <c r="BP108" s="2">
        <v>232.01</v>
      </c>
    </row>
    <row r="109" spans="1:68" x14ac:dyDescent="0.25">
      <c r="A109" s="1">
        <v>39813</v>
      </c>
      <c r="B109" s="2">
        <v>2315.06</v>
      </c>
      <c r="C109" s="1">
        <v>39813</v>
      </c>
      <c r="D109" s="2">
        <v>187.91249999999999</v>
      </c>
      <c r="E109" s="1">
        <v>39813</v>
      </c>
      <c r="F109" s="2">
        <v>167.88900000000001</v>
      </c>
      <c r="G109" s="1">
        <v>39813</v>
      </c>
      <c r="H109" s="2">
        <v>219.11099999999999</v>
      </c>
      <c r="I109" s="1">
        <v>39843</v>
      </c>
      <c r="J109" s="2">
        <v>136.47659999999999</v>
      </c>
      <c r="K109" s="1">
        <v>39813</v>
      </c>
      <c r="L109" s="2">
        <v>153.68969999999999</v>
      </c>
      <c r="M109" s="1">
        <v>39813</v>
      </c>
      <c r="N109" s="2">
        <v>123.1915</v>
      </c>
      <c r="O109" s="1">
        <v>39843</v>
      </c>
      <c r="P109" s="2">
        <v>128.9323</v>
      </c>
      <c r="Q109" s="1">
        <v>39813</v>
      </c>
      <c r="R109" s="2">
        <v>159.006</v>
      </c>
      <c r="S109" s="1">
        <v>39813</v>
      </c>
      <c r="T109" s="2">
        <v>361.34539999999998</v>
      </c>
      <c r="U109" s="1">
        <v>39813</v>
      </c>
      <c r="V109" s="2">
        <v>228.63910000000001</v>
      </c>
      <c r="W109" s="1">
        <v>39813</v>
      </c>
      <c r="X109" s="2">
        <v>1548.48</v>
      </c>
      <c r="Y109" s="1">
        <v>39813</v>
      </c>
      <c r="Z109" s="2">
        <v>144.56899999999999</v>
      </c>
      <c r="AA109" s="1">
        <v>40178</v>
      </c>
      <c r="AB109" s="2">
        <v>323.3329</v>
      </c>
      <c r="AC109" s="1">
        <v>39813</v>
      </c>
      <c r="AD109" s="2">
        <v>244.7045</v>
      </c>
      <c r="AE109" s="1">
        <v>40178</v>
      </c>
      <c r="AF109" s="2">
        <v>185.09200000000001</v>
      </c>
      <c r="AG109" s="1">
        <v>40178</v>
      </c>
      <c r="AH109" s="2">
        <v>304.6848</v>
      </c>
      <c r="AI109" s="1">
        <v>40178</v>
      </c>
      <c r="AJ109" s="2">
        <v>373.09100000000001</v>
      </c>
      <c r="AK109" s="1">
        <v>39813</v>
      </c>
      <c r="AL109" s="2">
        <v>2150.9899999999998</v>
      </c>
      <c r="AM109" s="1">
        <v>39813</v>
      </c>
      <c r="AN109" s="2">
        <v>633.79999999999995</v>
      </c>
      <c r="AO109" s="1">
        <v>39813</v>
      </c>
      <c r="AP109" s="2">
        <v>1262.42</v>
      </c>
      <c r="AQ109" s="1">
        <v>39813</v>
      </c>
      <c r="AR109" s="2">
        <v>687.19</v>
      </c>
      <c r="AS109" s="1">
        <v>39813</v>
      </c>
      <c r="AT109" s="2">
        <v>3650.35</v>
      </c>
      <c r="AU109" s="1">
        <v>39813</v>
      </c>
      <c r="AV109" s="2">
        <v>1568.55</v>
      </c>
      <c r="AW109" s="1">
        <v>41274</v>
      </c>
      <c r="AX109" s="2">
        <v>3536.09</v>
      </c>
      <c r="AY109" s="1">
        <v>41213</v>
      </c>
      <c r="AZ109" s="2">
        <v>93.56</v>
      </c>
      <c r="BA109" s="1">
        <v>44895</v>
      </c>
      <c r="BB109" s="2">
        <v>1908.45</v>
      </c>
      <c r="BC109" s="1">
        <v>39813</v>
      </c>
      <c r="BD109" s="2">
        <v>4.93</v>
      </c>
      <c r="BE109" s="1">
        <v>39813</v>
      </c>
      <c r="BF109" s="2">
        <v>68.486999999999995</v>
      </c>
      <c r="BG109" s="1">
        <v>39813</v>
      </c>
      <c r="BH109" s="2">
        <v>219.619</v>
      </c>
      <c r="BI109" s="1">
        <v>39813</v>
      </c>
      <c r="BJ109" s="2">
        <v>112.086</v>
      </c>
      <c r="BK109" s="1">
        <v>39813</v>
      </c>
      <c r="BL109" s="2">
        <v>809.91840000000002</v>
      </c>
      <c r="BM109" s="1">
        <v>41333</v>
      </c>
      <c r="BN109" s="2">
        <v>1681.848</v>
      </c>
      <c r="BO109" s="1">
        <v>41425</v>
      </c>
      <c r="BP109" s="2">
        <v>233.31</v>
      </c>
    </row>
    <row r="110" spans="1:68" x14ac:dyDescent="0.25">
      <c r="A110" s="1">
        <v>39843</v>
      </c>
      <c r="B110" s="2">
        <v>2307.8919999999998</v>
      </c>
      <c r="C110" s="1">
        <v>39843</v>
      </c>
      <c r="D110" s="2">
        <v>189.19069999999999</v>
      </c>
      <c r="E110" s="1">
        <v>39843</v>
      </c>
      <c r="F110" s="2">
        <v>153.91399999999999</v>
      </c>
      <c r="G110" s="1">
        <v>39843</v>
      </c>
      <c r="H110" s="2">
        <v>205.9819</v>
      </c>
      <c r="I110" s="1">
        <v>39871</v>
      </c>
      <c r="J110" s="2">
        <v>137.43450000000001</v>
      </c>
      <c r="K110" s="1">
        <v>39843</v>
      </c>
      <c r="L110" s="2">
        <v>154.55770000000001</v>
      </c>
      <c r="M110" s="1">
        <v>39843</v>
      </c>
      <c r="N110" s="2">
        <v>121.1317</v>
      </c>
      <c r="O110" s="1">
        <v>39871</v>
      </c>
      <c r="P110" s="2">
        <v>129.4967</v>
      </c>
      <c r="Q110" s="1">
        <v>39843</v>
      </c>
      <c r="R110" s="2">
        <v>161.56649999999999</v>
      </c>
      <c r="S110" s="1">
        <v>39843</v>
      </c>
      <c r="T110" s="2">
        <v>358.23950000000002</v>
      </c>
      <c r="U110" s="1">
        <v>39843</v>
      </c>
      <c r="V110" s="2">
        <v>223.9478</v>
      </c>
      <c r="W110" s="1">
        <v>39843</v>
      </c>
      <c r="X110" s="2">
        <v>1551.41</v>
      </c>
      <c r="Y110" s="1">
        <v>39843</v>
      </c>
      <c r="Z110" s="2">
        <v>189.2</v>
      </c>
      <c r="AA110" s="1">
        <v>40207</v>
      </c>
      <c r="AB110" s="2">
        <v>302.22089999999997</v>
      </c>
      <c r="AC110" s="1">
        <v>39843</v>
      </c>
      <c r="AD110" s="2">
        <v>232.90620000000001</v>
      </c>
      <c r="AE110" s="1">
        <v>40207</v>
      </c>
      <c r="AF110" s="2">
        <v>172.2363</v>
      </c>
      <c r="AG110" s="1">
        <v>40207</v>
      </c>
      <c r="AH110" s="2">
        <v>278.96409999999997</v>
      </c>
      <c r="AI110" s="1">
        <v>40207</v>
      </c>
      <c r="AJ110" s="2">
        <v>367.79390000000001</v>
      </c>
      <c r="AK110" s="1">
        <v>39843</v>
      </c>
      <c r="AL110" s="2">
        <v>1962.55</v>
      </c>
      <c r="AM110" s="1">
        <v>39843</v>
      </c>
      <c r="AN110" s="2">
        <v>596.61</v>
      </c>
      <c r="AO110" s="1">
        <v>39843</v>
      </c>
      <c r="AP110" s="2">
        <v>1171.73</v>
      </c>
      <c r="AQ110" s="1">
        <v>39843</v>
      </c>
      <c r="AR110" s="2">
        <v>626.9</v>
      </c>
      <c r="AS110" s="1">
        <v>39843</v>
      </c>
      <c r="AT110" s="2">
        <v>3238.88</v>
      </c>
      <c r="AU110" s="1">
        <v>39843</v>
      </c>
      <c r="AV110" s="2">
        <v>1469.93</v>
      </c>
      <c r="AW110" s="1">
        <v>41305</v>
      </c>
      <c r="AX110" s="2">
        <v>3567.54</v>
      </c>
      <c r="AY110" s="1">
        <v>41243</v>
      </c>
      <c r="AZ110" s="2">
        <v>93.58</v>
      </c>
      <c r="BA110" s="1">
        <v>44925</v>
      </c>
      <c r="BB110" s="2">
        <v>1938.96</v>
      </c>
      <c r="BC110" s="1">
        <v>39843</v>
      </c>
      <c r="BD110" s="2">
        <v>4.3099999999999996</v>
      </c>
      <c r="BE110" s="1">
        <v>39843</v>
      </c>
      <c r="BF110" s="2">
        <v>103.43300000000001</v>
      </c>
      <c r="BG110" s="1">
        <v>39843</v>
      </c>
      <c r="BH110" s="2">
        <v>265.98</v>
      </c>
      <c r="BI110" s="1">
        <v>39843</v>
      </c>
      <c r="BJ110" s="2">
        <v>178.892</v>
      </c>
      <c r="BK110" s="1">
        <v>39843</v>
      </c>
      <c r="BL110" s="2">
        <v>774.75009999999997</v>
      </c>
      <c r="BM110" s="1">
        <v>41362</v>
      </c>
      <c r="BN110" s="2">
        <v>1725.6</v>
      </c>
      <c r="BO110" s="1">
        <v>41453</v>
      </c>
      <c r="BP110" s="2">
        <v>229.64</v>
      </c>
    </row>
    <row r="111" spans="1:68" x14ac:dyDescent="0.25">
      <c r="A111" s="1">
        <v>39871</v>
      </c>
      <c r="B111" s="2">
        <v>2320.3330000000001</v>
      </c>
      <c r="C111" s="1">
        <v>39871</v>
      </c>
      <c r="D111" s="2">
        <v>193.1747</v>
      </c>
      <c r="E111" s="1">
        <v>39871</v>
      </c>
      <c r="F111" s="2">
        <v>163.91300000000001</v>
      </c>
      <c r="G111" s="1">
        <v>39871</v>
      </c>
      <c r="H111" s="2">
        <v>200.4957</v>
      </c>
      <c r="I111" s="1">
        <v>39903</v>
      </c>
      <c r="J111" s="2">
        <v>135.95480000000001</v>
      </c>
      <c r="K111" s="1">
        <v>39871</v>
      </c>
      <c r="L111" s="2">
        <v>156.96709999999999</v>
      </c>
      <c r="M111" s="1">
        <v>39871</v>
      </c>
      <c r="N111" s="2">
        <v>121.4971</v>
      </c>
      <c r="O111" s="1">
        <v>39903</v>
      </c>
      <c r="P111" s="2">
        <v>128.42160000000001</v>
      </c>
      <c r="Q111" s="1">
        <v>39871</v>
      </c>
      <c r="R111" s="2">
        <v>162.68510000000001</v>
      </c>
      <c r="S111" s="1">
        <v>39871</v>
      </c>
      <c r="T111" s="2">
        <v>358.19479999999999</v>
      </c>
      <c r="U111" s="1">
        <v>39871</v>
      </c>
      <c r="V111" s="2">
        <v>215.6746</v>
      </c>
      <c r="W111" s="1">
        <v>39871</v>
      </c>
      <c r="X111" s="2">
        <v>1560.35</v>
      </c>
      <c r="Y111" s="1">
        <v>39871</v>
      </c>
      <c r="Z111" s="2">
        <v>204.1</v>
      </c>
      <c r="AA111" s="1">
        <v>40235</v>
      </c>
      <c r="AB111" s="2">
        <v>315.10059999999999</v>
      </c>
      <c r="AC111" s="1">
        <v>39871</v>
      </c>
      <c r="AD111" s="2">
        <v>223.97489999999999</v>
      </c>
      <c r="AE111" s="1">
        <v>40235</v>
      </c>
      <c r="AF111" s="2">
        <v>177.17019999999999</v>
      </c>
      <c r="AG111" s="1">
        <v>40235</v>
      </c>
      <c r="AH111" s="2">
        <v>295.64980000000003</v>
      </c>
      <c r="AI111" s="1">
        <v>40235</v>
      </c>
      <c r="AJ111" s="2">
        <v>378.9735</v>
      </c>
      <c r="AK111" s="1">
        <v>39871</v>
      </c>
      <c r="AL111" s="2">
        <v>1761.67</v>
      </c>
      <c r="AM111" s="1">
        <v>39871</v>
      </c>
      <c r="AN111" s="2">
        <v>547.19000000000005</v>
      </c>
      <c r="AO111" s="1">
        <v>39871</v>
      </c>
      <c r="AP111" s="2">
        <v>1056</v>
      </c>
      <c r="AQ111" s="1">
        <v>39871</v>
      </c>
      <c r="AR111" s="2">
        <v>561.91</v>
      </c>
      <c r="AS111" s="1">
        <v>39871</v>
      </c>
      <c r="AT111" s="2">
        <v>2839.51</v>
      </c>
      <c r="AU111" s="1">
        <v>39871</v>
      </c>
      <c r="AV111" s="2">
        <v>1348.16</v>
      </c>
      <c r="AW111" s="1">
        <v>41333</v>
      </c>
      <c r="AX111" s="2">
        <v>3589.74</v>
      </c>
      <c r="AY111" s="1">
        <v>41274</v>
      </c>
      <c r="AZ111" s="2">
        <v>97.08</v>
      </c>
      <c r="BA111" s="1">
        <v>44957</v>
      </c>
      <c r="BB111" s="2">
        <v>1989.16</v>
      </c>
      <c r="BC111" s="1">
        <v>39871</v>
      </c>
      <c r="BD111" s="2">
        <v>4.51</v>
      </c>
      <c r="BE111" s="1">
        <v>39871</v>
      </c>
      <c r="BF111" s="2">
        <v>106.506</v>
      </c>
      <c r="BG111" s="1">
        <v>39871</v>
      </c>
      <c r="BH111" s="2">
        <v>278.58100000000002</v>
      </c>
      <c r="BI111" s="1">
        <v>39871</v>
      </c>
      <c r="BJ111" s="2">
        <v>175.70500000000001</v>
      </c>
      <c r="BK111" s="1">
        <v>39871</v>
      </c>
      <c r="BL111" s="2">
        <v>751.81309999999996</v>
      </c>
      <c r="BM111" s="1">
        <v>41394</v>
      </c>
      <c r="BN111" s="2">
        <v>1766.1369999999999</v>
      </c>
      <c r="BO111" s="1">
        <v>41486</v>
      </c>
      <c r="BP111" s="2">
        <v>242.78</v>
      </c>
    </row>
    <row r="112" spans="1:68" x14ac:dyDescent="0.25">
      <c r="A112" s="1">
        <v>39903</v>
      </c>
      <c r="B112" s="2">
        <v>2251.4650000000001</v>
      </c>
      <c r="C112" s="1">
        <v>39903</v>
      </c>
      <c r="D112" s="2">
        <v>202.3023</v>
      </c>
      <c r="E112" s="1">
        <v>39903</v>
      </c>
      <c r="F112" s="2">
        <v>176.44200000000001</v>
      </c>
      <c r="G112" s="1">
        <v>39903</v>
      </c>
      <c r="H112" s="2">
        <v>208.62360000000001</v>
      </c>
      <c r="I112" s="1">
        <v>39933</v>
      </c>
      <c r="J112" s="2">
        <v>134.75030000000001</v>
      </c>
      <c r="K112" s="1">
        <v>39903</v>
      </c>
      <c r="L112" s="2">
        <v>153.22290000000001</v>
      </c>
      <c r="M112" s="1">
        <v>39903</v>
      </c>
      <c r="N112" s="2">
        <v>122.78360000000001</v>
      </c>
      <c r="O112" s="1">
        <v>39933</v>
      </c>
      <c r="P112" s="2">
        <v>128.34139999999999</v>
      </c>
      <c r="Q112" s="1">
        <v>39903</v>
      </c>
      <c r="R112" s="2">
        <v>159.01769999999999</v>
      </c>
      <c r="S112" s="1">
        <v>39903</v>
      </c>
      <c r="T112" s="2">
        <v>361.32709999999997</v>
      </c>
      <c r="U112" s="1">
        <v>39903</v>
      </c>
      <c r="V112" s="2">
        <v>228.25309999999999</v>
      </c>
      <c r="W112" s="1">
        <v>39903</v>
      </c>
      <c r="X112" s="2">
        <v>1582.47</v>
      </c>
      <c r="Y112" s="1">
        <v>39903</v>
      </c>
      <c r="Z112" s="2">
        <v>186.48</v>
      </c>
      <c r="AA112" s="1">
        <v>40268</v>
      </c>
      <c r="AB112" s="2">
        <v>319.19040000000001</v>
      </c>
      <c r="AC112" s="1">
        <v>39903</v>
      </c>
      <c r="AD112" s="2">
        <v>234.17609999999999</v>
      </c>
      <c r="AE112" s="1">
        <v>40268</v>
      </c>
      <c r="AF112" s="2">
        <v>169.56180000000001</v>
      </c>
      <c r="AG112" s="1">
        <v>40268</v>
      </c>
      <c r="AH112" s="2">
        <v>305.78829999999999</v>
      </c>
      <c r="AI112" s="1">
        <v>40268</v>
      </c>
      <c r="AJ112" s="2">
        <v>381.30860000000001</v>
      </c>
      <c r="AK112" s="1">
        <v>39903</v>
      </c>
      <c r="AL112" s="2">
        <v>1894.51</v>
      </c>
      <c r="AM112" s="1">
        <v>39903</v>
      </c>
      <c r="AN112" s="2">
        <v>588.17999999999995</v>
      </c>
      <c r="AO112" s="1">
        <v>39903</v>
      </c>
      <c r="AP112" s="2">
        <v>1095.56</v>
      </c>
      <c r="AQ112" s="1">
        <v>39903</v>
      </c>
      <c r="AR112" s="2">
        <v>592.41</v>
      </c>
      <c r="AS112" s="1">
        <v>39903</v>
      </c>
      <c r="AT112" s="2">
        <v>3069.28</v>
      </c>
      <c r="AU112" s="1">
        <v>39903</v>
      </c>
      <c r="AV112" s="2">
        <v>1443.26</v>
      </c>
      <c r="AW112" s="1">
        <v>41362</v>
      </c>
      <c r="AX112" s="2">
        <v>3679.86</v>
      </c>
      <c r="AY112" s="1">
        <v>41305</v>
      </c>
      <c r="AZ112" s="2">
        <v>105.36</v>
      </c>
      <c r="BA112" s="1">
        <v>44985</v>
      </c>
      <c r="BB112" s="2">
        <v>1973.06</v>
      </c>
      <c r="BC112" s="1">
        <v>39903</v>
      </c>
      <c r="BD112" s="2">
        <v>4.82</v>
      </c>
      <c r="BE112" s="1">
        <v>39903</v>
      </c>
      <c r="BF112" s="2">
        <v>100.461</v>
      </c>
      <c r="BG112" s="1">
        <v>39903</v>
      </c>
      <c r="BH112" s="2">
        <v>250.66300000000001</v>
      </c>
      <c r="BI112" s="1">
        <v>39903</v>
      </c>
      <c r="BJ112" s="2">
        <v>187.55199999999999</v>
      </c>
      <c r="BK112" s="1">
        <v>39903</v>
      </c>
      <c r="BL112" s="2">
        <v>770.93349999999998</v>
      </c>
      <c r="BM112" s="1">
        <v>41425</v>
      </c>
      <c r="BN112" s="2">
        <v>1767.4359999999999</v>
      </c>
      <c r="BO112" s="1">
        <v>41516</v>
      </c>
      <c r="BP112" s="2">
        <v>232.9</v>
      </c>
    </row>
    <row r="113" spans="1:68" x14ac:dyDescent="0.25">
      <c r="A113" s="1">
        <v>39933</v>
      </c>
      <c r="B113" s="2">
        <v>2196.0830000000001</v>
      </c>
      <c r="C113" s="1">
        <v>39933</v>
      </c>
      <c r="D113" s="2">
        <v>208.60720000000001</v>
      </c>
      <c r="E113" s="1">
        <v>39933</v>
      </c>
      <c r="F113" s="2">
        <v>177.87299999999999</v>
      </c>
      <c r="G113" s="1">
        <v>39933</v>
      </c>
      <c r="H113" s="2">
        <v>222.4221</v>
      </c>
      <c r="I113" s="1">
        <v>39962</v>
      </c>
      <c r="J113" s="2">
        <v>134.28890000000001</v>
      </c>
      <c r="K113" s="1">
        <v>39933</v>
      </c>
      <c r="L113" s="2">
        <v>150.63329999999999</v>
      </c>
      <c r="M113" s="1">
        <v>39933</v>
      </c>
      <c r="N113" s="2">
        <v>121.2993</v>
      </c>
      <c r="O113" s="1">
        <v>39962</v>
      </c>
      <c r="P113" s="2">
        <v>127.39449999999999</v>
      </c>
      <c r="Q113" s="1">
        <v>39933</v>
      </c>
      <c r="R113" s="2">
        <v>157.54150000000001</v>
      </c>
      <c r="S113" s="1">
        <v>39933</v>
      </c>
      <c r="T113" s="2">
        <v>362.84070000000003</v>
      </c>
      <c r="U113" s="1">
        <v>39933</v>
      </c>
      <c r="V113" s="2">
        <v>229.59379999999999</v>
      </c>
      <c r="W113" s="1">
        <v>39933</v>
      </c>
      <c r="X113" s="2">
        <v>1586.97</v>
      </c>
      <c r="Y113" s="1">
        <v>39933</v>
      </c>
      <c r="Z113" s="2">
        <v>226.21899999999999</v>
      </c>
      <c r="AA113" s="1">
        <v>40298</v>
      </c>
      <c r="AB113" s="2">
        <v>330.97</v>
      </c>
      <c r="AC113" s="1">
        <v>39933</v>
      </c>
      <c r="AD113" s="2">
        <v>236.6593</v>
      </c>
      <c r="AE113" s="1">
        <v>40298</v>
      </c>
      <c r="AF113" s="2">
        <v>176.67410000000001</v>
      </c>
      <c r="AG113" s="1">
        <v>40298</v>
      </c>
      <c r="AH113" s="2">
        <v>323.1157</v>
      </c>
      <c r="AI113" s="1">
        <v>40298</v>
      </c>
      <c r="AJ113" s="2">
        <v>404.22219999999999</v>
      </c>
      <c r="AK113" s="1">
        <v>39933</v>
      </c>
      <c r="AL113" s="2">
        <v>2107.04</v>
      </c>
      <c r="AM113" s="1">
        <v>39933</v>
      </c>
      <c r="AN113" s="2">
        <v>630.4</v>
      </c>
      <c r="AO113" s="1">
        <v>39933</v>
      </c>
      <c r="AP113" s="2">
        <v>1173.9000000000001</v>
      </c>
      <c r="AQ113" s="1">
        <v>39933</v>
      </c>
      <c r="AR113" s="2">
        <v>617.5</v>
      </c>
      <c r="AS113" s="1">
        <v>39933</v>
      </c>
      <c r="AT113" s="2">
        <v>3490.88</v>
      </c>
      <c r="AU113" s="1">
        <v>39933</v>
      </c>
      <c r="AV113" s="2">
        <v>1572.25</v>
      </c>
      <c r="AW113" s="1">
        <v>41394</v>
      </c>
      <c r="AX113" s="2">
        <v>3721.7</v>
      </c>
      <c r="AY113" s="1">
        <v>41333</v>
      </c>
      <c r="AZ113" s="2">
        <v>108.76</v>
      </c>
      <c r="BA113" s="1">
        <v>45016</v>
      </c>
      <c r="BB113" s="2">
        <v>1981.49</v>
      </c>
      <c r="BC113" s="1">
        <v>39933</v>
      </c>
      <c r="BD113" s="2">
        <v>3.95</v>
      </c>
      <c r="BE113" s="1">
        <v>39933</v>
      </c>
      <c r="BF113" s="2">
        <v>110.861</v>
      </c>
      <c r="BG113" s="1">
        <v>39933</v>
      </c>
      <c r="BH113" s="2">
        <v>299.08199999999999</v>
      </c>
      <c r="BI113" s="1">
        <v>39933</v>
      </c>
      <c r="BJ113" s="2">
        <v>202.12799999999999</v>
      </c>
      <c r="BK113" s="1">
        <v>39933</v>
      </c>
      <c r="BL113" s="2">
        <v>771.21069999999997</v>
      </c>
      <c r="BM113" s="1">
        <v>41453</v>
      </c>
      <c r="BN113" s="2">
        <v>1722.6369999999999</v>
      </c>
      <c r="BO113" s="1">
        <v>41547</v>
      </c>
      <c r="BP113" s="2">
        <v>237.44</v>
      </c>
    </row>
    <row r="114" spans="1:68" x14ac:dyDescent="0.25">
      <c r="A114" s="1">
        <v>39962</v>
      </c>
      <c r="B114" s="2">
        <v>2206.9</v>
      </c>
      <c r="C114" s="1">
        <v>39962</v>
      </c>
      <c r="D114" s="2">
        <v>215.95339999999999</v>
      </c>
      <c r="E114" s="1">
        <v>39962</v>
      </c>
      <c r="F114" s="2">
        <v>182.161</v>
      </c>
      <c r="G114" s="1">
        <v>39962</v>
      </c>
      <c r="H114" s="2">
        <v>237.53200000000001</v>
      </c>
      <c r="I114" s="1">
        <v>39994</v>
      </c>
      <c r="J114" s="2">
        <v>133.7089</v>
      </c>
      <c r="K114" s="1">
        <v>39962</v>
      </c>
      <c r="L114" s="2">
        <v>150.51499999999999</v>
      </c>
      <c r="M114" s="1">
        <v>39962</v>
      </c>
      <c r="N114" s="2">
        <v>120.9158</v>
      </c>
      <c r="O114" s="1">
        <v>39994</v>
      </c>
      <c r="P114" s="2">
        <v>126.786</v>
      </c>
      <c r="Q114" s="1">
        <v>39962</v>
      </c>
      <c r="R114" s="2">
        <v>157.4109</v>
      </c>
      <c r="S114" s="1">
        <v>39962</v>
      </c>
      <c r="T114" s="2">
        <v>363.42590000000001</v>
      </c>
      <c r="U114" s="1">
        <v>39962</v>
      </c>
      <c r="V114" s="2">
        <v>242.8698</v>
      </c>
      <c r="W114" s="1">
        <v>39962</v>
      </c>
      <c r="X114" s="2">
        <v>1591.61</v>
      </c>
      <c r="Y114" s="1">
        <v>39962</v>
      </c>
      <c r="Z114" s="2">
        <v>254.27799999999999</v>
      </c>
      <c r="AA114" s="1">
        <v>40329</v>
      </c>
      <c r="AB114" s="2">
        <v>306.08319999999998</v>
      </c>
      <c r="AC114" s="1">
        <v>39962</v>
      </c>
      <c r="AD114" s="2">
        <v>264.95979999999997</v>
      </c>
      <c r="AE114" s="1">
        <v>40329</v>
      </c>
      <c r="AF114" s="2">
        <v>167.58519999999999</v>
      </c>
      <c r="AG114" s="1">
        <v>40329</v>
      </c>
      <c r="AH114" s="2">
        <v>277.26</v>
      </c>
      <c r="AI114" s="1">
        <v>40329</v>
      </c>
      <c r="AJ114" s="2">
        <v>412.98570000000001</v>
      </c>
      <c r="AK114" s="1">
        <v>39962</v>
      </c>
      <c r="AL114" s="2">
        <v>2297.9499999999998</v>
      </c>
      <c r="AM114" s="1">
        <v>39962</v>
      </c>
      <c r="AN114" s="2">
        <v>684.9</v>
      </c>
      <c r="AO114" s="1">
        <v>39962</v>
      </c>
      <c r="AP114" s="2">
        <v>1254.71</v>
      </c>
      <c r="AQ114" s="1">
        <v>39962</v>
      </c>
      <c r="AR114" s="2">
        <v>650.41</v>
      </c>
      <c r="AS114" s="1">
        <v>39962</v>
      </c>
      <c r="AT114" s="2">
        <v>3823.15</v>
      </c>
      <c r="AU114" s="1">
        <v>39962</v>
      </c>
      <c r="AV114" s="2">
        <v>1707.94</v>
      </c>
      <c r="AW114" s="1">
        <v>41425</v>
      </c>
      <c r="AX114" s="2">
        <v>3592.54</v>
      </c>
      <c r="AY114" s="1">
        <v>41362</v>
      </c>
      <c r="AZ114" s="2">
        <v>108.83</v>
      </c>
      <c r="BA114" s="1">
        <v>45044</v>
      </c>
      <c r="BB114" s="2">
        <v>1999.33</v>
      </c>
      <c r="BC114" s="1">
        <v>39962</v>
      </c>
      <c r="BD114" s="2">
        <v>3.19</v>
      </c>
      <c r="BE114" s="1">
        <v>39962</v>
      </c>
      <c r="BF114" s="2">
        <v>111.96899999999999</v>
      </c>
      <c r="BG114" s="1">
        <v>39962</v>
      </c>
      <c r="BH114" s="2">
        <v>332.64100000000002</v>
      </c>
      <c r="BI114" s="1">
        <v>39962</v>
      </c>
      <c r="BJ114" s="2">
        <v>199.54</v>
      </c>
      <c r="BK114" s="1">
        <v>39962</v>
      </c>
      <c r="BL114" s="2">
        <v>796.86689999999999</v>
      </c>
      <c r="BM114" s="1">
        <v>41486</v>
      </c>
      <c r="BN114" s="2">
        <v>1814.96</v>
      </c>
      <c r="BO114" s="1">
        <v>41578</v>
      </c>
      <c r="BP114" s="2">
        <v>239.95</v>
      </c>
    </row>
    <row r="115" spans="1:68" x14ac:dyDescent="0.25">
      <c r="A115" s="1">
        <v>39994</v>
      </c>
      <c r="B115" s="2">
        <v>2137.971</v>
      </c>
      <c r="C115" s="1">
        <v>39994</v>
      </c>
      <c r="D115" s="2">
        <v>220.35929999999999</v>
      </c>
      <c r="E115" s="1">
        <v>39994</v>
      </c>
      <c r="F115" s="2">
        <v>187.875</v>
      </c>
      <c r="G115" s="1">
        <v>39994</v>
      </c>
      <c r="H115" s="2">
        <v>240.8039</v>
      </c>
      <c r="I115" s="1">
        <v>40025</v>
      </c>
      <c r="J115" s="2">
        <v>134.03450000000001</v>
      </c>
      <c r="K115" s="1">
        <v>39994</v>
      </c>
      <c r="L115" s="2">
        <v>150.20339999999999</v>
      </c>
      <c r="M115" s="1">
        <v>39994</v>
      </c>
      <c r="N115" s="2">
        <v>119.8372</v>
      </c>
      <c r="O115" s="1">
        <v>40025</v>
      </c>
      <c r="P115" s="2">
        <v>127.0685</v>
      </c>
      <c r="Q115" s="1">
        <v>39994</v>
      </c>
      <c r="R115" s="2">
        <v>157.24590000000001</v>
      </c>
      <c r="S115" s="1">
        <v>39994</v>
      </c>
      <c r="T115" s="2">
        <v>366.75830000000002</v>
      </c>
      <c r="U115" s="1">
        <v>39994</v>
      </c>
      <c r="V115" s="2">
        <v>245.01419999999999</v>
      </c>
      <c r="W115" s="1">
        <v>39994</v>
      </c>
      <c r="X115" s="2">
        <v>1593.6</v>
      </c>
      <c r="Y115" s="1">
        <v>39994</v>
      </c>
      <c r="Z115" s="2">
        <v>242.143</v>
      </c>
      <c r="AA115" s="1">
        <v>40359</v>
      </c>
      <c r="AB115" s="2">
        <v>305.75720000000001</v>
      </c>
      <c r="AC115" s="1">
        <v>39994</v>
      </c>
      <c r="AD115" s="2">
        <v>260.30009999999999</v>
      </c>
      <c r="AE115" s="1">
        <v>40359</v>
      </c>
      <c r="AF115" s="2">
        <v>169.93369999999999</v>
      </c>
      <c r="AG115" s="1">
        <v>40359</v>
      </c>
      <c r="AH115" s="2">
        <v>276.94130000000001</v>
      </c>
      <c r="AI115" s="1">
        <v>40359</v>
      </c>
      <c r="AJ115" s="2">
        <v>422.67250000000001</v>
      </c>
      <c r="AK115" s="1">
        <v>39994</v>
      </c>
      <c r="AL115" s="2">
        <v>2287.58</v>
      </c>
      <c r="AM115" s="1">
        <v>39994</v>
      </c>
      <c r="AN115" s="2">
        <v>687.63</v>
      </c>
      <c r="AO115" s="1">
        <v>39994</v>
      </c>
      <c r="AP115" s="2">
        <v>1270.98</v>
      </c>
      <c r="AQ115" s="1">
        <v>39994</v>
      </c>
      <c r="AR115" s="2">
        <v>644.08000000000004</v>
      </c>
      <c r="AS115" s="1">
        <v>39994</v>
      </c>
      <c r="AT115" s="2">
        <v>3780.96</v>
      </c>
      <c r="AU115" s="1">
        <v>39994</v>
      </c>
      <c r="AV115" s="2">
        <v>1711.54</v>
      </c>
      <c r="AW115" s="1">
        <v>41453</v>
      </c>
      <c r="AX115" s="2">
        <v>3436.74</v>
      </c>
      <c r="AY115" s="1">
        <v>41394</v>
      </c>
      <c r="AZ115" s="2">
        <v>113.46</v>
      </c>
      <c r="BA115" s="1">
        <v>45077</v>
      </c>
      <c r="BB115" s="2">
        <v>1986.81</v>
      </c>
      <c r="BC115" s="1">
        <v>39994</v>
      </c>
      <c r="BD115" s="2">
        <v>2.75</v>
      </c>
      <c r="BE115" s="1">
        <v>39994</v>
      </c>
      <c r="BF115" s="2">
        <v>97.822999999999993</v>
      </c>
      <c r="BG115" s="1">
        <v>39994</v>
      </c>
      <c r="BH115" s="2">
        <v>334.68700000000001</v>
      </c>
      <c r="BI115" s="1">
        <v>39994</v>
      </c>
      <c r="BJ115" s="2">
        <v>177.404</v>
      </c>
      <c r="BK115" s="1">
        <v>39994</v>
      </c>
      <c r="BL115" s="2">
        <v>797.75750000000005</v>
      </c>
      <c r="BM115" s="1">
        <v>41516</v>
      </c>
      <c r="BN115" s="2">
        <v>1785.2280000000001</v>
      </c>
      <c r="BO115" s="1">
        <v>41607</v>
      </c>
      <c r="BP115" s="2">
        <v>242.42</v>
      </c>
    </row>
    <row r="116" spans="1:68" x14ac:dyDescent="0.25">
      <c r="A116" s="1">
        <v>40025</v>
      </c>
      <c r="B116" s="2">
        <v>2141.98</v>
      </c>
      <c r="C116" s="1">
        <v>40025</v>
      </c>
      <c r="D116" s="2">
        <v>222.08699999999999</v>
      </c>
      <c r="E116" s="1">
        <v>40025</v>
      </c>
      <c r="F116" s="2">
        <v>187.77099999999999</v>
      </c>
      <c r="G116" s="1">
        <v>40025</v>
      </c>
      <c r="H116" s="2">
        <v>249.52029999999999</v>
      </c>
      <c r="I116" s="1">
        <v>40056</v>
      </c>
      <c r="J116" s="2">
        <v>134.56299999999999</v>
      </c>
      <c r="K116" s="1">
        <v>40025</v>
      </c>
      <c r="L116" s="2">
        <v>151.22819999999999</v>
      </c>
      <c r="M116" s="1">
        <v>40025</v>
      </c>
      <c r="N116" s="2">
        <v>119.34099999999999</v>
      </c>
      <c r="O116" s="1">
        <v>40056</v>
      </c>
      <c r="P116" s="2">
        <v>128.1206</v>
      </c>
      <c r="Q116" s="1">
        <v>40025</v>
      </c>
      <c r="R116" s="2">
        <v>158.11189999999999</v>
      </c>
      <c r="S116" s="1">
        <v>40025</v>
      </c>
      <c r="T116" s="2">
        <v>371.64170000000001</v>
      </c>
      <c r="U116" s="1">
        <v>40025</v>
      </c>
      <c r="V116" s="2">
        <v>249.21510000000001</v>
      </c>
      <c r="W116" s="1">
        <v>40025</v>
      </c>
      <c r="X116" s="2">
        <v>1606.64</v>
      </c>
      <c r="Y116" s="1">
        <v>40025</v>
      </c>
      <c r="Z116" s="2">
        <v>236.61699999999999</v>
      </c>
      <c r="AA116" s="1">
        <v>40389</v>
      </c>
      <c r="AB116" s="2">
        <v>322.67239999999998</v>
      </c>
      <c r="AC116" s="1">
        <v>40025</v>
      </c>
      <c r="AD116" s="2">
        <v>270.54360000000003</v>
      </c>
      <c r="AE116" s="1">
        <v>40389</v>
      </c>
      <c r="AF116" s="2">
        <v>189.07759999999999</v>
      </c>
      <c r="AG116" s="1">
        <v>40389</v>
      </c>
      <c r="AH116" s="2">
        <v>285.48849999999999</v>
      </c>
      <c r="AI116" s="1">
        <v>40389</v>
      </c>
      <c r="AJ116" s="2">
        <v>401.33</v>
      </c>
      <c r="AK116" s="1">
        <v>40025</v>
      </c>
      <c r="AL116" s="2">
        <v>2481.33</v>
      </c>
      <c r="AM116" s="1">
        <v>40025</v>
      </c>
      <c r="AN116" s="2">
        <v>732.96</v>
      </c>
      <c r="AO116" s="1">
        <v>40025</v>
      </c>
      <c r="AP116" s="2">
        <v>1358.09</v>
      </c>
      <c r="AQ116" s="1">
        <v>40025</v>
      </c>
      <c r="AR116" s="2">
        <v>696.82</v>
      </c>
      <c r="AS116" s="1">
        <v>40025</v>
      </c>
      <c r="AT116" s="2">
        <v>4125.87</v>
      </c>
      <c r="AU116" s="1">
        <v>40025</v>
      </c>
      <c r="AV116" s="2">
        <v>1845.29</v>
      </c>
      <c r="AW116" s="1">
        <v>41486</v>
      </c>
      <c r="AX116" s="2">
        <v>3527.09</v>
      </c>
      <c r="AY116" s="1">
        <v>41425</v>
      </c>
      <c r="AZ116" s="2">
        <v>109.86</v>
      </c>
      <c r="BA116" s="1">
        <v>45107</v>
      </c>
      <c r="BB116" s="2">
        <v>2036.87</v>
      </c>
      <c r="BC116" s="1">
        <v>40025</v>
      </c>
      <c r="BD116" s="2">
        <v>2.2400000000000002</v>
      </c>
      <c r="BE116" s="1">
        <v>40025</v>
      </c>
      <c r="BF116" s="2">
        <v>96.54</v>
      </c>
      <c r="BG116" s="1">
        <v>40025</v>
      </c>
      <c r="BH116" s="2">
        <v>330.09399999999999</v>
      </c>
      <c r="BI116" s="1">
        <v>40025</v>
      </c>
      <c r="BJ116" s="2">
        <v>178.315</v>
      </c>
      <c r="BK116" s="1">
        <v>40025</v>
      </c>
      <c r="BL116" s="2">
        <v>811.92380000000003</v>
      </c>
      <c r="BM116" s="1">
        <v>41547</v>
      </c>
      <c r="BN116" s="2">
        <v>1881.38</v>
      </c>
      <c r="BO116" s="1">
        <v>41639</v>
      </c>
      <c r="BP116" s="2">
        <v>240.49</v>
      </c>
    </row>
    <row r="117" spans="1:68" x14ac:dyDescent="0.25">
      <c r="A117" s="1">
        <v>40056</v>
      </c>
      <c r="B117" s="2">
        <v>2175.6089999999999</v>
      </c>
      <c r="C117" s="1">
        <v>40056</v>
      </c>
      <c r="D117" s="2">
        <v>224.45079999999999</v>
      </c>
      <c r="E117" s="1">
        <v>40056</v>
      </c>
      <c r="F117" s="2">
        <v>192.52500000000001</v>
      </c>
      <c r="G117" s="1">
        <v>40056</v>
      </c>
      <c r="H117" s="2">
        <v>248.7389</v>
      </c>
      <c r="I117" s="1">
        <v>40086</v>
      </c>
      <c r="J117" s="2">
        <v>135.65020000000001</v>
      </c>
      <c r="K117" s="1">
        <v>40056</v>
      </c>
      <c r="L117" s="2">
        <v>152.167</v>
      </c>
      <c r="M117" s="1">
        <v>40056</v>
      </c>
      <c r="N117" s="2">
        <v>119.3549</v>
      </c>
      <c r="O117" s="1">
        <v>40086</v>
      </c>
      <c r="P117" s="2">
        <v>128.1438</v>
      </c>
      <c r="Q117" s="1">
        <v>40056</v>
      </c>
      <c r="R117" s="2">
        <v>158.15989999999999</v>
      </c>
      <c r="S117" s="1">
        <v>40056</v>
      </c>
      <c r="T117" s="2">
        <v>375.45440000000002</v>
      </c>
      <c r="U117" s="1">
        <v>40056</v>
      </c>
      <c r="V117" s="2">
        <v>253.29419999999999</v>
      </c>
      <c r="W117" s="1">
        <v>40056</v>
      </c>
      <c r="X117" s="2">
        <v>1617.37</v>
      </c>
      <c r="Y117" s="1">
        <v>40056</v>
      </c>
      <c r="Z117" s="2">
        <v>242.709</v>
      </c>
      <c r="AA117" s="1">
        <v>40421</v>
      </c>
      <c r="AB117" s="2">
        <v>323.50220000000002</v>
      </c>
      <c r="AC117" s="1">
        <v>40056</v>
      </c>
      <c r="AD117" s="2">
        <v>270.3279</v>
      </c>
      <c r="AE117" s="1">
        <v>40421</v>
      </c>
      <c r="AF117" s="2">
        <v>193.2655</v>
      </c>
      <c r="AG117" s="1">
        <v>40421</v>
      </c>
      <c r="AH117" s="2">
        <v>267.15410000000003</v>
      </c>
      <c r="AI117" s="1">
        <v>40421</v>
      </c>
      <c r="AJ117" s="2">
        <v>425.23899999999998</v>
      </c>
      <c r="AK117" s="1">
        <v>40056</v>
      </c>
      <c r="AL117" s="2">
        <v>2583.6999999999998</v>
      </c>
      <c r="AM117" s="1">
        <v>40056</v>
      </c>
      <c r="AN117" s="2">
        <v>749.14</v>
      </c>
      <c r="AO117" s="1">
        <v>40056</v>
      </c>
      <c r="AP117" s="2">
        <v>1396.01</v>
      </c>
      <c r="AQ117" s="1">
        <v>40056</v>
      </c>
      <c r="AR117" s="2">
        <v>710.28</v>
      </c>
      <c r="AS117" s="1">
        <v>40056</v>
      </c>
      <c r="AT117" s="2">
        <v>4371.9399999999996</v>
      </c>
      <c r="AU117" s="1">
        <v>40056</v>
      </c>
      <c r="AV117" s="2">
        <v>1887.02</v>
      </c>
      <c r="AW117" s="1">
        <v>41516</v>
      </c>
      <c r="AX117" s="2">
        <v>3511.12</v>
      </c>
      <c r="AY117" s="1">
        <v>41453</v>
      </c>
      <c r="AZ117" s="2">
        <v>107.78</v>
      </c>
      <c r="BA117" s="1">
        <v>45138</v>
      </c>
      <c r="BB117" s="2">
        <v>2080.37</v>
      </c>
      <c r="BC117" s="1">
        <v>40056</v>
      </c>
      <c r="BD117" s="2">
        <v>2.1</v>
      </c>
      <c r="BE117" s="1">
        <v>40056</v>
      </c>
      <c r="BF117" s="2">
        <v>101.27</v>
      </c>
      <c r="BG117" s="1">
        <v>40056</v>
      </c>
      <c r="BH117" s="2">
        <v>326.75200000000001</v>
      </c>
      <c r="BI117" s="1">
        <v>40056</v>
      </c>
      <c r="BJ117" s="2">
        <v>179.238</v>
      </c>
      <c r="BK117" s="1">
        <v>40056</v>
      </c>
      <c r="BL117" s="2">
        <v>828</v>
      </c>
      <c r="BM117" s="1">
        <v>41578</v>
      </c>
      <c r="BN117" s="2">
        <v>1946.4649999999999</v>
      </c>
      <c r="BO117" s="1">
        <v>41670</v>
      </c>
      <c r="BP117" s="2">
        <v>235.15</v>
      </c>
    </row>
    <row r="118" spans="1:68" x14ac:dyDescent="0.25">
      <c r="A118" s="1">
        <v>40086</v>
      </c>
      <c r="B118" s="2">
        <v>2227.857</v>
      </c>
      <c r="C118" s="1">
        <v>40086</v>
      </c>
      <c r="D118" s="2">
        <v>228.9777</v>
      </c>
      <c r="E118" s="1">
        <v>40086</v>
      </c>
      <c r="F118" s="2">
        <v>199.047</v>
      </c>
      <c r="G118" s="1">
        <v>40086</v>
      </c>
      <c r="H118" s="2">
        <v>255.7355</v>
      </c>
      <c r="I118" s="1">
        <v>40116</v>
      </c>
      <c r="J118" s="2">
        <v>135.16300000000001</v>
      </c>
      <c r="K118" s="1">
        <v>40086</v>
      </c>
      <c r="L118" s="2">
        <v>154.41679999999999</v>
      </c>
      <c r="M118" s="1">
        <v>40086</v>
      </c>
      <c r="N118" s="2">
        <v>119.798</v>
      </c>
      <c r="O118" s="1">
        <v>40116</v>
      </c>
      <c r="P118" s="2">
        <v>128.00069999999999</v>
      </c>
      <c r="Q118" s="1">
        <v>40086</v>
      </c>
      <c r="R118" s="2">
        <v>160.82499999999999</v>
      </c>
      <c r="S118" s="1">
        <v>40086</v>
      </c>
      <c r="T118" s="2">
        <v>378.62639999999999</v>
      </c>
      <c r="U118" s="1">
        <v>40086</v>
      </c>
      <c r="V118" s="2">
        <v>257.48649999999998</v>
      </c>
      <c r="W118" s="1">
        <v>40086</v>
      </c>
      <c r="X118" s="2">
        <v>1630.37</v>
      </c>
      <c r="Y118" s="1">
        <v>40086</v>
      </c>
      <c r="Z118" s="2">
        <v>235.85499999999999</v>
      </c>
      <c r="AA118" s="1">
        <v>40451</v>
      </c>
      <c r="AB118" s="2">
        <v>348.11020000000002</v>
      </c>
      <c r="AC118" s="1">
        <v>40086</v>
      </c>
      <c r="AD118" s="2">
        <v>273.91309999999999</v>
      </c>
      <c r="AE118" s="1">
        <v>40451</v>
      </c>
      <c r="AF118" s="2">
        <v>206.42789999999999</v>
      </c>
      <c r="AG118" s="1">
        <v>40451</v>
      </c>
      <c r="AH118" s="2">
        <v>286.6035</v>
      </c>
      <c r="AI118" s="1">
        <v>40451</v>
      </c>
      <c r="AJ118" s="2">
        <v>451.07690000000002</v>
      </c>
      <c r="AK118" s="1">
        <v>40086</v>
      </c>
      <c r="AL118" s="2">
        <v>2686.68</v>
      </c>
      <c r="AM118" s="1">
        <v>40086</v>
      </c>
      <c r="AN118" s="2">
        <v>775.56</v>
      </c>
      <c r="AO118" s="1">
        <v>40086</v>
      </c>
      <c r="AP118" s="2">
        <v>1448.3</v>
      </c>
      <c r="AQ118" s="1">
        <v>40086</v>
      </c>
      <c r="AR118" s="2">
        <v>741.75</v>
      </c>
      <c r="AS118" s="1">
        <v>40086</v>
      </c>
      <c r="AT118" s="2">
        <v>4523.2700000000004</v>
      </c>
      <c r="AU118" s="1">
        <v>40086</v>
      </c>
      <c r="AV118" s="2">
        <v>1972.61</v>
      </c>
      <c r="AW118" s="1">
        <v>41547</v>
      </c>
      <c r="AX118" s="2">
        <v>3608.61</v>
      </c>
      <c r="AY118" s="1">
        <v>41486</v>
      </c>
      <c r="AZ118" s="2">
        <v>113.86</v>
      </c>
      <c r="BA118" s="1">
        <v>45169</v>
      </c>
      <c r="BB118" s="2">
        <v>2089.9899999999998</v>
      </c>
      <c r="BC118" s="1">
        <v>40086</v>
      </c>
      <c r="BD118" s="2">
        <v>1.98</v>
      </c>
      <c r="BE118" s="1">
        <v>40086</v>
      </c>
      <c r="BF118" s="2">
        <v>99.369</v>
      </c>
      <c r="BG118" s="1">
        <v>40086</v>
      </c>
      <c r="BH118" s="2">
        <v>319.452</v>
      </c>
      <c r="BI118" s="1">
        <v>40086</v>
      </c>
      <c r="BJ118" s="2">
        <v>173.76</v>
      </c>
      <c r="BK118" s="1">
        <v>40086</v>
      </c>
      <c r="BL118" s="2">
        <v>846.92319999999995</v>
      </c>
      <c r="BM118" s="1">
        <v>41607</v>
      </c>
      <c r="BN118" s="2">
        <v>1984.0989999999999</v>
      </c>
      <c r="BO118" s="1">
        <v>41698</v>
      </c>
      <c r="BP118" s="2">
        <v>238.66</v>
      </c>
    </row>
    <row r="119" spans="1:68" x14ac:dyDescent="0.25">
      <c r="A119" s="1">
        <v>40116</v>
      </c>
      <c r="B119" s="2">
        <v>2162.4050000000002</v>
      </c>
      <c r="C119" s="1">
        <v>40116</v>
      </c>
      <c r="D119" s="2">
        <v>231.96549999999999</v>
      </c>
      <c r="E119" s="1">
        <v>40116</v>
      </c>
      <c r="F119" s="2">
        <v>198.18899999999999</v>
      </c>
      <c r="G119" s="1">
        <v>40116</v>
      </c>
      <c r="H119" s="2">
        <v>256.44959999999998</v>
      </c>
      <c r="I119" s="1">
        <v>40147</v>
      </c>
      <c r="J119" s="2">
        <v>136.75960000000001</v>
      </c>
      <c r="K119" s="1">
        <v>40116</v>
      </c>
      <c r="L119" s="2">
        <v>152.93539999999999</v>
      </c>
      <c r="M119" s="1">
        <v>40116</v>
      </c>
      <c r="N119" s="2">
        <v>119.1795</v>
      </c>
      <c r="O119" s="1">
        <v>40147</v>
      </c>
      <c r="P119" s="2">
        <v>129.18219999999999</v>
      </c>
      <c r="Q119" s="1">
        <v>40116</v>
      </c>
      <c r="R119" s="2">
        <v>160.8107</v>
      </c>
      <c r="S119" s="1">
        <v>40116</v>
      </c>
      <c r="T119" s="2">
        <v>379.4246</v>
      </c>
      <c r="U119" s="1">
        <v>40116</v>
      </c>
      <c r="V119" s="2">
        <v>261.89830000000001</v>
      </c>
      <c r="W119" s="1">
        <v>40116</v>
      </c>
      <c r="X119" s="2">
        <v>1642.02</v>
      </c>
      <c r="Y119" s="1">
        <v>40116</v>
      </c>
      <c r="Z119" s="2">
        <v>249.15799999999999</v>
      </c>
      <c r="AA119" s="1">
        <v>40480</v>
      </c>
      <c r="AB119" s="2">
        <v>366.22239999999999</v>
      </c>
      <c r="AC119" s="1">
        <v>40116</v>
      </c>
      <c r="AD119" s="2">
        <v>283.3691</v>
      </c>
      <c r="AE119" s="1">
        <v>40480</v>
      </c>
      <c r="AF119" s="2">
        <v>227.05289999999999</v>
      </c>
      <c r="AG119" s="1">
        <v>40480</v>
      </c>
      <c r="AH119" s="2">
        <v>286.52280000000002</v>
      </c>
      <c r="AI119" s="1">
        <v>40480</v>
      </c>
      <c r="AJ119" s="2">
        <v>475.04880000000003</v>
      </c>
      <c r="AK119" s="1">
        <v>40116</v>
      </c>
      <c r="AL119" s="2">
        <v>2638.88</v>
      </c>
      <c r="AM119" s="1">
        <v>40116</v>
      </c>
      <c r="AN119" s="2">
        <v>783.94</v>
      </c>
      <c r="AO119" s="1">
        <v>40116</v>
      </c>
      <c r="AP119" s="2">
        <v>1408.86</v>
      </c>
      <c r="AQ119" s="1">
        <v>40116</v>
      </c>
      <c r="AR119" s="2">
        <v>732.35</v>
      </c>
      <c r="AS119" s="1">
        <v>40116</v>
      </c>
      <c r="AT119" s="2">
        <v>4404.07</v>
      </c>
      <c r="AU119" s="1">
        <v>40116</v>
      </c>
      <c r="AV119" s="2">
        <v>1955.08</v>
      </c>
      <c r="AW119" s="1">
        <v>41578</v>
      </c>
      <c r="AX119" s="2">
        <v>3674.01</v>
      </c>
      <c r="AY119" s="1">
        <v>41516</v>
      </c>
      <c r="AZ119" s="2">
        <v>110.84</v>
      </c>
      <c r="BA119" s="1">
        <v>45198</v>
      </c>
      <c r="BB119" s="2">
        <v>2084.9299999999998</v>
      </c>
      <c r="BC119" s="1">
        <v>40116</v>
      </c>
      <c r="BD119" s="2">
        <v>1.87</v>
      </c>
      <c r="BE119" s="1">
        <v>40116</v>
      </c>
      <c r="BF119" s="2">
        <v>107.459</v>
      </c>
      <c r="BG119" s="1">
        <v>40116</v>
      </c>
      <c r="BH119" s="2">
        <v>333.49400000000003</v>
      </c>
      <c r="BI119" s="1">
        <v>40116</v>
      </c>
      <c r="BJ119" s="2">
        <v>191.61199999999999</v>
      </c>
      <c r="BK119" s="1">
        <v>40116</v>
      </c>
      <c r="BL119" s="2">
        <v>847.74390000000005</v>
      </c>
      <c r="BM119" s="1">
        <v>41639</v>
      </c>
      <c r="BN119" s="2">
        <v>2031.326</v>
      </c>
      <c r="BO119" s="1">
        <v>41729</v>
      </c>
      <c r="BP119" s="2">
        <v>239.59</v>
      </c>
    </row>
    <row r="120" spans="1:68" x14ac:dyDescent="0.25">
      <c r="A120" s="1">
        <v>40147</v>
      </c>
      <c r="B120" s="2">
        <v>2274.2429999999999</v>
      </c>
      <c r="C120" s="1">
        <v>40147</v>
      </c>
      <c r="D120" s="2">
        <v>230.13030000000001</v>
      </c>
      <c r="E120" s="1">
        <v>40147</v>
      </c>
      <c r="F120" s="2">
        <v>196.43600000000001</v>
      </c>
      <c r="G120" s="1">
        <v>40147</v>
      </c>
      <c r="H120" s="2">
        <v>262.15550000000002</v>
      </c>
      <c r="I120" s="1">
        <v>40178</v>
      </c>
      <c r="J120" s="2">
        <v>136.15530000000001</v>
      </c>
      <c r="K120" s="1">
        <v>40147</v>
      </c>
      <c r="L120" s="2">
        <v>154.7321</v>
      </c>
      <c r="M120" s="1">
        <v>40147</v>
      </c>
      <c r="N120" s="2">
        <v>121.1065</v>
      </c>
      <c r="O120" s="1">
        <v>40178</v>
      </c>
      <c r="P120" s="2">
        <v>128.60470000000001</v>
      </c>
      <c r="Q120" s="1">
        <v>40147</v>
      </c>
      <c r="R120" s="2">
        <v>162.55619999999999</v>
      </c>
      <c r="S120" s="1">
        <v>40147</v>
      </c>
      <c r="T120" s="2">
        <v>383.24689999999998</v>
      </c>
      <c r="U120" s="1">
        <v>40147</v>
      </c>
      <c r="V120" s="2">
        <v>268.88400000000001</v>
      </c>
      <c r="W120" s="1">
        <v>40147</v>
      </c>
      <c r="X120" s="2">
        <v>1663.08</v>
      </c>
      <c r="Y120" s="1">
        <v>40147</v>
      </c>
      <c r="Z120" s="2">
        <v>253.24199999999999</v>
      </c>
      <c r="AA120" s="1">
        <v>40512</v>
      </c>
      <c r="AB120" s="2">
        <v>366.86090000000002</v>
      </c>
      <c r="AC120" s="1">
        <v>40147</v>
      </c>
      <c r="AD120" s="2">
        <v>296.05560000000003</v>
      </c>
      <c r="AE120" s="1">
        <v>40512</v>
      </c>
      <c r="AF120" s="2">
        <v>222.9812</v>
      </c>
      <c r="AG120" s="1">
        <v>40512</v>
      </c>
      <c r="AH120" s="2">
        <v>293.40230000000003</v>
      </c>
      <c r="AI120" s="1">
        <v>40512</v>
      </c>
      <c r="AJ120" s="2">
        <v>496.23520000000002</v>
      </c>
      <c r="AK120" s="1">
        <v>40147</v>
      </c>
      <c r="AL120" s="2">
        <v>2746.71</v>
      </c>
      <c r="AM120" s="1">
        <v>40147</v>
      </c>
      <c r="AN120" s="2">
        <v>824.12</v>
      </c>
      <c r="AO120" s="1">
        <v>40147</v>
      </c>
      <c r="AP120" s="2">
        <v>1468.62</v>
      </c>
      <c r="AQ120" s="1">
        <v>40147</v>
      </c>
      <c r="AR120" s="2">
        <v>763.3</v>
      </c>
      <c r="AS120" s="1">
        <v>40147</v>
      </c>
      <c r="AT120" s="2">
        <v>4578.29</v>
      </c>
      <c r="AU120" s="1">
        <v>40147</v>
      </c>
      <c r="AV120" s="2">
        <v>2037.58</v>
      </c>
      <c r="AW120" s="1">
        <v>41607</v>
      </c>
      <c r="AX120" s="2">
        <v>3701.83</v>
      </c>
      <c r="AY120" s="1">
        <v>41547</v>
      </c>
      <c r="AZ120" s="2">
        <v>120.29</v>
      </c>
      <c r="BA120" s="1">
        <v>45230</v>
      </c>
      <c r="BB120" s="2">
        <v>2075.86</v>
      </c>
      <c r="BC120" s="1">
        <v>40147</v>
      </c>
      <c r="BD120" s="2">
        <v>1.87</v>
      </c>
      <c r="BE120" s="1">
        <v>40147</v>
      </c>
      <c r="BF120" s="2">
        <v>119.84</v>
      </c>
      <c r="BG120" s="1">
        <v>40147</v>
      </c>
      <c r="BH120" s="2">
        <v>314.78800000000001</v>
      </c>
      <c r="BI120" s="1">
        <v>40147</v>
      </c>
      <c r="BJ120" s="2">
        <v>219.13900000000001</v>
      </c>
      <c r="BK120" s="1">
        <v>40147</v>
      </c>
      <c r="BL120" s="2">
        <v>874.55679999999995</v>
      </c>
      <c r="BM120" s="1">
        <v>41670</v>
      </c>
      <c r="BN120" s="2">
        <v>1955.501</v>
      </c>
      <c r="BO120" s="1">
        <v>41759</v>
      </c>
      <c r="BP120" s="2">
        <v>243.26</v>
      </c>
    </row>
    <row r="121" spans="1:68" x14ac:dyDescent="0.25">
      <c r="A121" s="1">
        <v>40178</v>
      </c>
      <c r="B121" s="2">
        <v>2203.962</v>
      </c>
      <c r="C121" s="1">
        <v>40178</v>
      </c>
      <c r="D121" s="2">
        <v>235.8108</v>
      </c>
      <c r="E121" s="1">
        <v>40178</v>
      </c>
      <c r="F121" s="2">
        <v>204.63399999999999</v>
      </c>
      <c r="G121" s="1">
        <v>40178</v>
      </c>
      <c r="H121" s="2">
        <v>262.6909</v>
      </c>
      <c r="I121" s="1">
        <v>40207</v>
      </c>
      <c r="J121" s="2">
        <v>135.02619999999999</v>
      </c>
      <c r="K121" s="1">
        <v>40178</v>
      </c>
      <c r="L121" s="2">
        <v>157.68530000000001</v>
      </c>
      <c r="M121" s="1">
        <v>40178</v>
      </c>
      <c r="N121" s="2">
        <v>118.93049999999999</v>
      </c>
      <c r="O121" s="1">
        <v>40207</v>
      </c>
      <c r="P121" s="2">
        <v>126.7831</v>
      </c>
      <c r="Q121" s="1">
        <v>40178</v>
      </c>
      <c r="R121" s="2">
        <v>160.88470000000001</v>
      </c>
      <c r="S121" s="1">
        <v>40178</v>
      </c>
      <c r="T121" s="2">
        <v>379.73009999999999</v>
      </c>
      <c r="U121" s="1">
        <v>40178</v>
      </c>
      <c r="V121" s="2">
        <v>259.67950000000002</v>
      </c>
      <c r="W121" s="1">
        <v>40178</v>
      </c>
      <c r="X121" s="2">
        <v>1639.67</v>
      </c>
      <c r="Y121" s="1">
        <v>40178</v>
      </c>
      <c r="Z121" s="2">
        <v>269.93799999999999</v>
      </c>
      <c r="AA121" s="1">
        <v>40543</v>
      </c>
      <c r="AB121" s="2">
        <v>402.74040000000002</v>
      </c>
      <c r="AC121" s="1">
        <v>40178</v>
      </c>
      <c r="AD121" s="2">
        <v>300.79930000000002</v>
      </c>
      <c r="AE121" s="1">
        <v>40543</v>
      </c>
      <c r="AF121" s="2">
        <v>251.16130000000001</v>
      </c>
      <c r="AG121" s="1">
        <v>40543</v>
      </c>
      <c r="AH121" s="2">
        <v>318.87950000000001</v>
      </c>
      <c r="AI121" s="1">
        <v>40543</v>
      </c>
      <c r="AJ121" s="2">
        <v>516.49019999999996</v>
      </c>
      <c r="AK121" s="1">
        <v>40178</v>
      </c>
      <c r="AL121" s="2">
        <v>2796.04</v>
      </c>
      <c r="AM121" s="1">
        <v>40178</v>
      </c>
      <c r="AN121" s="2">
        <v>840.18</v>
      </c>
      <c r="AO121" s="1">
        <v>40178</v>
      </c>
      <c r="AP121" s="2">
        <v>1469.8</v>
      </c>
      <c r="AQ121" s="1">
        <v>40178</v>
      </c>
      <c r="AR121" s="2">
        <v>784.82</v>
      </c>
      <c r="AS121" s="1">
        <v>40178</v>
      </c>
      <c r="AT121" s="2">
        <v>4624.13</v>
      </c>
      <c r="AU121" s="1">
        <v>40178</v>
      </c>
      <c r="AV121" s="2">
        <v>2090.46</v>
      </c>
      <c r="AW121" s="1">
        <v>41639</v>
      </c>
      <c r="AX121" s="2">
        <v>3645.62</v>
      </c>
      <c r="AY121" s="1">
        <v>41578</v>
      </c>
      <c r="AZ121" s="2">
        <v>121.22</v>
      </c>
      <c r="BA121" s="1">
        <v>45260</v>
      </c>
      <c r="BB121" s="2">
        <v>2110.9899999999998</v>
      </c>
      <c r="BC121" s="1">
        <v>40178</v>
      </c>
      <c r="BD121" s="2">
        <v>1.57</v>
      </c>
      <c r="BE121" s="1">
        <v>40178</v>
      </c>
      <c r="BF121" s="2">
        <v>115.82899999999999</v>
      </c>
      <c r="BG121" s="1">
        <v>40178</v>
      </c>
      <c r="BH121" s="2">
        <v>378.60700000000003</v>
      </c>
      <c r="BI121" s="1">
        <v>40178</v>
      </c>
      <c r="BJ121" s="2">
        <v>196.15600000000001</v>
      </c>
      <c r="BK121" s="1">
        <v>40178</v>
      </c>
      <c r="BL121" s="2">
        <v>830.58989999999994</v>
      </c>
      <c r="BM121" s="1">
        <v>41698</v>
      </c>
      <c r="BN121" s="2">
        <v>2060.5790000000002</v>
      </c>
      <c r="BO121" s="1">
        <v>41789</v>
      </c>
      <c r="BP121" s="2">
        <v>251.69</v>
      </c>
    </row>
    <row r="122" spans="1:68" x14ac:dyDescent="0.25">
      <c r="A122" s="1">
        <v>40207</v>
      </c>
      <c r="B122" s="2">
        <v>2119.4940000000001</v>
      </c>
      <c r="C122" s="1">
        <v>40207</v>
      </c>
      <c r="D122" s="2">
        <v>230.911</v>
      </c>
      <c r="E122" s="1">
        <v>40207</v>
      </c>
      <c r="F122" s="2">
        <v>203.47399999999999</v>
      </c>
      <c r="G122" s="1">
        <v>40207</v>
      </c>
      <c r="H122" s="2">
        <v>259.38909999999998</v>
      </c>
      <c r="I122" s="1">
        <v>40235</v>
      </c>
      <c r="J122" s="2">
        <v>135.56290000000001</v>
      </c>
      <c r="K122" s="1">
        <v>40207</v>
      </c>
      <c r="L122" s="2">
        <v>153.4179</v>
      </c>
      <c r="M122" s="1">
        <v>40207</v>
      </c>
      <c r="N122" s="2">
        <v>120.4979</v>
      </c>
      <c r="O122" s="1">
        <v>40235</v>
      </c>
      <c r="P122" s="2">
        <v>126.8929</v>
      </c>
      <c r="Q122" s="1">
        <v>40207</v>
      </c>
      <c r="R122" s="2">
        <v>159.8887</v>
      </c>
      <c r="S122" s="1">
        <v>40207</v>
      </c>
      <c r="T122" s="2">
        <v>383.6198</v>
      </c>
      <c r="U122" s="1">
        <v>40207</v>
      </c>
      <c r="V122" s="2">
        <v>258.25279999999998</v>
      </c>
      <c r="W122" s="1">
        <v>40207</v>
      </c>
      <c r="X122" s="2">
        <v>1661.42</v>
      </c>
      <c r="Y122" s="1">
        <v>40207</v>
      </c>
      <c r="Z122" s="2">
        <v>277.05700000000002</v>
      </c>
      <c r="AA122" s="1">
        <v>40574</v>
      </c>
      <c r="AB122" s="2">
        <v>411.21679999999998</v>
      </c>
      <c r="AC122" s="1">
        <v>40207</v>
      </c>
      <c r="AD122" s="2">
        <v>279.53339999999997</v>
      </c>
      <c r="AE122" s="1">
        <v>40574</v>
      </c>
      <c r="AF122" s="2">
        <v>263.12090000000001</v>
      </c>
      <c r="AG122" s="1">
        <v>40574</v>
      </c>
      <c r="AH122" s="2">
        <v>333.90480000000002</v>
      </c>
      <c r="AI122" s="1">
        <v>40574</v>
      </c>
      <c r="AJ122" s="2">
        <v>480.95319999999998</v>
      </c>
      <c r="AK122" s="1">
        <v>40207</v>
      </c>
      <c r="AL122" s="2">
        <v>2680.47</v>
      </c>
      <c r="AM122" s="1">
        <v>40207</v>
      </c>
      <c r="AN122" s="2">
        <v>808.93</v>
      </c>
      <c r="AO122" s="1">
        <v>40207</v>
      </c>
      <c r="AP122" s="2">
        <v>1433.86</v>
      </c>
      <c r="AQ122" s="1">
        <v>40207</v>
      </c>
      <c r="AR122" s="2">
        <v>733.65</v>
      </c>
      <c r="AS122" s="1">
        <v>40207</v>
      </c>
      <c r="AT122" s="2">
        <v>4462.22</v>
      </c>
      <c r="AU122" s="1">
        <v>40207</v>
      </c>
      <c r="AV122" s="2">
        <v>1990.95</v>
      </c>
      <c r="AW122" s="1">
        <v>41670</v>
      </c>
      <c r="AX122" s="2">
        <v>3714.92</v>
      </c>
      <c r="AY122" s="1">
        <v>41607</v>
      </c>
      <c r="AZ122" s="2">
        <v>124.63</v>
      </c>
      <c r="BA122" s="1">
        <v>45289</v>
      </c>
      <c r="BB122" s="2">
        <v>2197.48</v>
      </c>
      <c r="BC122" s="1">
        <v>40207</v>
      </c>
      <c r="BD122" s="2">
        <v>1.56</v>
      </c>
      <c r="BE122" s="1">
        <v>40207</v>
      </c>
      <c r="BF122" s="2">
        <v>126.137</v>
      </c>
      <c r="BG122" s="1">
        <v>40207</v>
      </c>
      <c r="BH122" s="2">
        <v>351.226</v>
      </c>
      <c r="BI122" s="1">
        <v>40207</v>
      </c>
      <c r="BJ122" s="2">
        <v>216.44800000000001</v>
      </c>
      <c r="BK122" s="1">
        <v>40207</v>
      </c>
      <c r="BL122" s="2">
        <v>831.64760000000001</v>
      </c>
      <c r="BM122" s="1">
        <v>41729</v>
      </c>
      <c r="BN122" s="2">
        <v>2041.277</v>
      </c>
      <c r="BO122" s="1">
        <v>41820</v>
      </c>
      <c r="BP122" s="2">
        <v>257.63</v>
      </c>
    </row>
    <row r="123" spans="1:68" x14ac:dyDescent="0.25">
      <c r="A123" s="1">
        <v>40235</v>
      </c>
      <c r="B123" s="2">
        <v>2161.3310000000001</v>
      </c>
      <c r="C123" s="1">
        <v>40235</v>
      </c>
      <c r="D123" s="2">
        <v>230.50839999999999</v>
      </c>
      <c r="E123" s="1">
        <v>40235</v>
      </c>
      <c r="F123" s="2">
        <v>203.43299999999999</v>
      </c>
      <c r="G123" s="1">
        <v>40235</v>
      </c>
      <c r="H123" s="2">
        <v>260.84710000000001</v>
      </c>
      <c r="I123" s="1">
        <v>40268</v>
      </c>
      <c r="J123" s="2">
        <v>137.21680000000001</v>
      </c>
      <c r="K123" s="1">
        <v>40235</v>
      </c>
      <c r="L123" s="2">
        <v>153.5668</v>
      </c>
      <c r="M123" s="1">
        <v>40235</v>
      </c>
      <c r="N123" s="2">
        <v>122.105</v>
      </c>
      <c r="O123" s="1">
        <v>40268</v>
      </c>
      <c r="P123" s="2">
        <v>129.3116</v>
      </c>
      <c r="Q123" s="1">
        <v>40235</v>
      </c>
      <c r="R123" s="2">
        <v>160.1284</v>
      </c>
      <c r="S123" s="1">
        <v>40235</v>
      </c>
      <c r="T123" s="2">
        <v>385.43169999999998</v>
      </c>
      <c r="U123" s="1">
        <v>40235</v>
      </c>
      <c r="V123" s="2">
        <v>252.92320000000001</v>
      </c>
      <c r="W123" s="1">
        <v>40235</v>
      </c>
      <c r="X123" s="2">
        <v>1664.37</v>
      </c>
      <c r="Y123" s="1">
        <v>40235</v>
      </c>
      <c r="Z123" s="2">
        <v>279.78500000000003</v>
      </c>
      <c r="AA123" s="1">
        <v>40602</v>
      </c>
      <c r="AB123" s="2">
        <v>427.1078</v>
      </c>
      <c r="AC123" s="1">
        <v>40235</v>
      </c>
      <c r="AD123" s="2">
        <v>290.17419999999998</v>
      </c>
      <c r="AE123" s="1">
        <v>40602</v>
      </c>
      <c r="AF123" s="2">
        <v>265.30630000000002</v>
      </c>
      <c r="AG123" s="1">
        <v>40602</v>
      </c>
      <c r="AH123" s="2">
        <v>352.18310000000002</v>
      </c>
      <c r="AI123" s="1">
        <v>40602</v>
      </c>
      <c r="AJ123" s="2">
        <v>520.67939999999999</v>
      </c>
      <c r="AK123" s="1">
        <v>40235</v>
      </c>
      <c r="AL123" s="2">
        <v>2718.26</v>
      </c>
      <c r="AM123" s="1">
        <v>40235</v>
      </c>
      <c r="AN123" s="2">
        <v>821.43</v>
      </c>
      <c r="AO123" s="1">
        <v>40235</v>
      </c>
      <c r="AP123" s="2">
        <v>1454.42</v>
      </c>
      <c r="AQ123" s="1">
        <v>40235</v>
      </c>
      <c r="AR123" s="2">
        <v>753.88</v>
      </c>
      <c r="AS123" s="1">
        <v>40235</v>
      </c>
      <c r="AT123" s="2">
        <v>4497.24</v>
      </c>
      <c r="AU123" s="1">
        <v>40235</v>
      </c>
      <c r="AV123" s="2">
        <v>2031.57</v>
      </c>
      <c r="AW123" s="1">
        <v>41698</v>
      </c>
      <c r="AX123" s="2">
        <v>3879.83</v>
      </c>
      <c r="AY123" s="1">
        <v>41639</v>
      </c>
      <c r="AZ123" s="2">
        <v>126.66</v>
      </c>
      <c r="BA123" s="1">
        <v>45322</v>
      </c>
      <c r="BB123" s="2">
        <v>2212.66</v>
      </c>
      <c r="BC123" s="1">
        <v>40235</v>
      </c>
      <c r="BD123" s="2">
        <v>1.58</v>
      </c>
      <c r="BE123" s="1">
        <v>40235</v>
      </c>
      <c r="BF123" s="2">
        <v>131.01300000000001</v>
      </c>
      <c r="BG123" s="1">
        <v>40235</v>
      </c>
      <c r="BH123" s="2">
        <v>349.39</v>
      </c>
      <c r="BI123" s="1">
        <v>40235</v>
      </c>
      <c r="BJ123" s="2">
        <v>225.416</v>
      </c>
      <c r="BK123" s="1">
        <v>40235</v>
      </c>
      <c r="BL123" s="2">
        <v>833.74890000000005</v>
      </c>
      <c r="BM123" s="1">
        <v>41759</v>
      </c>
      <c r="BN123" s="2">
        <v>2049.3879999999999</v>
      </c>
      <c r="BO123" s="1">
        <v>41851</v>
      </c>
      <c r="BP123" s="2">
        <v>254.35</v>
      </c>
    </row>
    <row r="124" spans="1:68" x14ac:dyDescent="0.25">
      <c r="A124" s="1">
        <v>40268</v>
      </c>
      <c r="B124" s="2">
        <v>2267.1979999999999</v>
      </c>
      <c r="C124" s="1">
        <v>40268</v>
      </c>
      <c r="D124" s="2">
        <v>234.65379999999999</v>
      </c>
      <c r="E124" s="1">
        <v>40268</v>
      </c>
      <c r="F124" s="2">
        <v>209.21199999999999</v>
      </c>
      <c r="G124" s="1">
        <v>40268</v>
      </c>
      <c r="H124" s="2">
        <v>268.87099999999998</v>
      </c>
      <c r="I124" s="1">
        <v>40298</v>
      </c>
      <c r="J124" s="2">
        <v>138.33709999999999</v>
      </c>
      <c r="K124" s="1">
        <v>40268</v>
      </c>
      <c r="L124" s="2">
        <v>157.5273</v>
      </c>
      <c r="M124" s="1">
        <v>40268</v>
      </c>
      <c r="N124" s="2">
        <v>121.22499999999999</v>
      </c>
      <c r="O124" s="1">
        <v>40298</v>
      </c>
      <c r="P124" s="2">
        <v>129.23400000000001</v>
      </c>
      <c r="Q124" s="1">
        <v>40268</v>
      </c>
      <c r="R124" s="2">
        <v>162.03829999999999</v>
      </c>
      <c r="S124" s="1">
        <v>40268</v>
      </c>
      <c r="T124" s="2">
        <v>386.17509999999999</v>
      </c>
      <c r="U124" s="1">
        <v>40268</v>
      </c>
      <c r="V124" s="2">
        <v>255.14599999999999</v>
      </c>
      <c r="W124" s="1">
        <v>40268</v>
      </c>
      <c r="X124" s="2">
        <v>1664.92</v>
      </c>
      <c r="Y124" s="1">
        <v>40268</v>
      </c>
      <c r="Z124" s="2">
        <v>280.77800000000002</v>
      </c>
      <c r="AA124" s="1">
        <v>40633</v>
      </c>
      <c r="AB124" s="2">
        <v>437.47059999999999</v>
      </c>
      <c r="AC124" s="1">
        <v>40268</v>
      </c>
      <c r="AD124" s="2">
        <v>287.75900000000001</v>
      </c>
      <c r="AE124" s="1">
        <v>40633</v>
      </c>
      <c r="AF124" s="2">
        <v>268.78210000000001</v>
      </c>
      <c r="AG124" s="1">
        <v>40633</v>
      </c>
      <c r="AH124" s="2">
        <v>373.70089999999999</v>
      </c>
      <c r="AI124" s="1">
        <v>40633</v>
      </c>
      <c r="AJ124" s="2">
        <v>541.97090000000003</v>
      </c>
      <c r="AK124" s="1">
        <v>40268</v>
      </c>
      <c r="AL124" s="2">
        <v>2886.6</v>
      </c>
      <c r="AM124" s="1">
        <v>40268</v>
      </c>
      <c r="AN124" s="2">
        <v>860.3</v>
      </c>
      <c r="AO124" s="1">
        <v>40268</v>
      </c>
      <c r="AP124" s="2">
        <v>1503.02</v>
      </c>
      <c r="AQ124" s="1">
        <v>40268</v>
      </c>
      <c r="AR124" s="2">
        <v>807.75</v>
      </c>
      <c r="AS124" s="1">
        <v>40268</v>
      </c>
      <c r="AT124" s="2">
        <v>4778.68</v>
      </c>
      <c r="AU124" s="1">
        <v>40268</v>
      </c>
      <c r="AV124" s="2">
        <v>2156.0700000000002</v>
      </c>
      <c r="AW124" s="1">
        <v>41729</v>
      </c>
      <c r="AX124" s="2">
        <v>3891.25</v>
      </c>
      <c r="AY124" s="1">
        <v>41670</v>
      </c>
      <c r="AZ124" s="2">
        <v>124.49</v>
      </c>
      <c r="BA124" s="1">
        <v>45351</v>
      </c>
      <c r="BB124" s="2">
        <v>2254.65</v>
      </c>
      <c r="BC124" s="1">
        <v>40268</v>
      </c>
      <c r="BD124" s="2">
        <v>1.36</v>
      </c>
      <c r="BE124" s="1">
        <v>40268</v>
      </c>
      <c r="BF124" s="2">
        <v>128.238</v>
      </c>
      <c r="BG124" s="1">
        <v>40268</v>
      </c>
      <c r="BH124" s="2">
        <v>367.24</v>
      </c>
      <c r="BI124" s="1">
        <v>40268</v>
      </c>
      <c r="BJ124" s="2">
        <v>216.86699999999999</v>
      </c>
      <c r="BK124" s="1">
        <v>40268</v>
      </c>
      <c r="BL124" s="2">
        <v>819.56560000000002</v>
      </c>
      <c r="BM124" s="1">
        <v>41789</v>
      </c>
      <c r="BN124" s="2">
        <v>2103.81</v>
      </c>
      <c r="BO124" s="1">
        <v>41880</v>
      </c>
      <c r="BP124" s="2">
        <v>261.52</v>
      </c>
    </row>
    <row r="125" spans="1:68" x14ac:dyDescent="0.25">
      <c r="A125" s="1">
        <v>40298</v>
      </c>
      <c r="B125" s="2">
        <v>2313.11</v>
      </c>
      <c r="C125" s="1">
        <v>40298</v>
      </c>
      <c r="D125" s="2">
        <v>238.74260000000001</v>
      </c>
      <c r="E125" s="1">
        <v>40298</v>
      </c>
      <c r="F125" s="2">
        <v>214.52699999999999</v>
      </c>
      <c r="G125" s="1">
        <v>40298</v>
      </c>
      <c r="H125" s="2">
        <v>269.66759999999999</v>
      </c>
      <c r="I125" s="1">
        <v>40329</v>
      </c>
      <c r="J125" s="2">
        <v>137.62209999999999</v>
      </c>
      <c r="K125" s="1">
        <v>40298</v>
      </c>
      <c r="L125" s="2">
        <v>158.13849999999999</v>
      </c>
      <c r="M125" s="1">
        <v>40298</v>
      </c>
      <c r="N125" s="2">
        <v>123.90989999999999</v>
      </c>
      <c r="O125" s="1">
        <v>40329</v>
      </c>
      <c r="P125" s="2">
        <v>126.7963</v>
      </c>
      <c r="Q125" s="1">
        <v>40298</v>
      </c>
      <c r="R125" s="2">
        <v>163.49860000000001</v>
      </c>
      <c r="S125" s="1">
        <v>40298</v>
      </c>
      <c r="T125" s="2">
        <v>388.327</v>
      </c>
      <c r="U125" s="1">
        <v>40298</v>
      </c>
      <c r="V125" s="2">
        <v>256.47770000000003</v>
      </c>
      <c r="W125" s="1">
        <v>40298</v>
      </c>
      <c r="X125" s="2">
        <v>1674.95</v>
      </c>
      <c r="Y125" s="1">
        <v>40298</v>
      </c>
      <c r="Z125" s="2">
        <v>269.08600000000001</v>
      </c>
      <c r="AA125" s="1">
        <v>40662</v>
      </c>
      <c r="AB125" s="2">
        <v>454.41370000000001</v>
      </c>
      <c r="AC125" s="1">
        <v>40298</v>
      </c>
      <c r="AD125" s="2">
        <v>295.74279999999999</v>
      </c>
      <c r="AE125" s="1">
        <v>40662</v>
      </c>
      <c r="AF125" s="2">
        <v>267.96589999999998</v>
      </c>
      <c r="AG125" s="1">
        <v>40662</v>
      </c>
      <c r="AH125" s="2">
        <v>397.27120000000002</v>
      </c>
      <c r="AI125" s="1">
        <v>40662</v>
      </c>
      <c r="AJ125" s="2">
        <v>609.45550000000003</v>
      </c>
      <c r="AK125" s="1">
        <v>40298</v>
      </c>
      <c r="AL125" s="2">
        <v>2887.01</v>
      </c>
      <c r="AM125" s="1">
        <v>40298</v>
      </c>
      <c r="AN125" s="2">
        <v>854.94</v>
      </c>
      <c r="AO125" s="1">
        <v>40298</v>
      </c>
      <c r="AP125" s="2">
        <v>1498.55</v>
      </c>
      <c r="AQ125" s="1">
        <v>40298</v>
      </c>
      <c r="AR125" s="2">
        <v>818.11</v>
      </c>
      <c r="AS125" s="1">
        <v>40298</v>
      </c>
      <c r="AT125" s="2">
        <v>4769.93</v>
      </c>
      <c r="AU125" s="1">
        <v>40298</v>
      </c>
      <c r="AV125" s="2">
        <v>2160.61</v>
      </c>
      <c r="AW125" s="1">
        <v>41759</v>
      </c>
      <c r="AX125" s="2">
        <v>3943.59</v>
      </c>
      <c r="AY125" s="1">
        <v>41698</v>
      </c>
      <c r="AZ125" s="2">
        <v>129.32</v>
      </c>
      <c r="BA125" s="1">
        <v>45380</v>
      </c>
      <c r="BB125" s="2">
        <v>2293.94</v>
      </c>
      <c r="BC125" s="1">
        <v>40298</v>
      </c>
      <c r="BD125" s="2">
        <v>1.32</v>
      </c>
      <c r="BE125" s="1">
        <v>40298</v>
      </c>
      <c r="BF125" s="2">
        <v>123.702</v>
      </c>
      <c r="BG125" s="1">
        <v>40298</v>
      </c>
      <c r="BH125" s="2">
        <v>349.58800000000002</v>
      </c>
      <c r="BI125" s="1">
        <v>40298</v>
      </c>
      <c r="BJ125" s="2">
        <v>210</v>
      </c>
      <c r="BK125" s="1">
        <v>40298</v>
      </c>
      <c r="BL125" s="2">
        <v>816.59500000000003</v>
      </c>
      <c r="BM125" s="1">
        <v>41820</v>
      </c>
      <c r="BN125" s="2">
        <v>2139.4319999999998</v>
      </c>
      <c r="BO125" s="1">
        <v>41912</v>
      </c>
      <c r="BP125" s="2">
        <v>258.14999999999998</v>
      </c>
    </row>
    <row r="126" spans="1:68" x14ac:dyDescent="0.25">
      <c r="A126" s="1">
        <v>40329</v>
      </c>
      <c r="B126" s="2">
        <v>2208.9389999999999</v>
      </c>
      <c r="C126" s="1">
        <v>40329</v>
      </c>
      <c r="D126" s="2">
        <v>233.78630000000001</v>
      </c>
      <c r="E126" s="1">
        <v>40329</v>
      </c>
      <c r="F126" s="2">
        <v>201.59899999999999</v>
      </c>
      <c r="G126" s="1">
        <v>40329</v>
      </c>
      <c r="H126" s="2">
        <v>255.80179999999999</v>
      </c>
      <c r="I126" s="1">
        <v>40359</v>
      </c>
      <c r="J126" s="2">
        <v>137.80709999999999</v>
      </c>
      <c r="K126" s="1">
        <v>40329</v>
      </c>
      <c r="L126" s="2">
        <v>154.04589999999999</v>
      </c>
      <c r="M126" s="1">
        <v>40329</v>
      </c>
      <c r="N126" s="2">
        <v>128.7518</v>
      </c>
      <c r="O126" s="1">
        <v>40359</v>
      </c>
      <c r="P126" s="2">
        <v>126.26519999999999</v>
      </c>
      <c r="Q126" s="1">
        <v>40329</v>
      </c>
      <c r="R126" s="2">
        <v>161.34460000000001</v>
      </c>
      <c r="S126" s="1">
        <v>40329</v>
      </c>
      <c r="T126" s="2">
        <v>391.33330000000001</v>
      </c>
      <c r="U126" s="1">
        <v>40329</v>
      </c>
      <c r="V126" s="2">
        <v>247.56010000000001</v>
      </c>
      <c r="W126" s="1">
        <v>40329</v>
      </c>
      <c r="X126" s="2">
        <v>1693.71</v>
      </c>
      <c r="Y126" s="1">
        <v>40329</v>
      </c>
      <c r="Z126" s="2">
        <v>251.691</v>
      </c>
      <c r="AA126" s="1">
        <v>40694</v>
      </c>
      <c r="AB126" s="2">
        <v>431.87169999999998</v>
      </c>
      <c r="AC126" s="1">
        <v>40329</v>
      </c>
      <c r="AD126" s="2">
        <v>276.64179999999999</v>
      </c>
      <c r="AE126" s="1">
        <v>40694</v>
      </c>
      <c r="AF126" s="2">
        <v>262.23779999999999</v>
      </c>
      <c r="AG126" s="1">
        <v>40694</v>
      </c>
      <c r="AH126" s="2">
        <v>366.39699999999999</v>
      </c>
      <c r="AI126" s="1">
        <v>40694</v>
      </c>
      <c r="AJ126" s="2">
        <v>571.29459999999995</v>
      </c>
      <c r="AK126" s="1">
        <v>40329</v>
      </c>
      <c r="AL126" s="2">
        <v>2610.4699999999998</v>
      </c>
      <c r="AM126" s="1">
        <v>40329</v>
      </c>
      <c r="AN126" s="2">
        <v>776.87</v>
      </c>
      <c r="AO126" s="1">
        <v>40329</v>
      </c>
      <c r="AP126" s="2">
        <v>1405.44</v>
      </c>
      <c r="AQ126" s="1">
        <v>40329</v>
      </c>
      <c r="AR126" s="2">
        <v>743.77</v>
      </c>
      <c r="AS126" s="1">
        <v>40329</v>
      </c>
      <c r="AT126" s="2">
        <v>4307.9399999999996</v>
      </c>
      <c r="AU126" s="1">
        <v>40329</v>
      </c>
      <c r="AV126" s="2">
        <v>1955.95</v>
      </c>
      <c r="AW126" s="1">
        <v>41789</v>
      </c>
      <c r="AX126" s="2">
        <v>4002.8</v>
      </c>
      <c r="AY126" s="1">
        <v>41729</v>
      </c>
      <c r="AZ126" s="2">
        <v>126.7</v>
      </c>
      <c r="BA126" s="1">
        <v>45412</v>
      </c>
      <c r="BB126" s="2">
        <v>2326.75</v>
      </c>
      <c r="BC126" s="1">
        <v>40329</v>
      </c>
      <c r="BD126" s="2">
        <v>1.72</v>
      </c>
      <c r="BE126" s="1">
        <v>40329</v>
      </c>
      <c r="BF126" s="2">
        <v>119.315</v>
      </c>
      <c r="BG126" s="1">
        <v>40329</v>
      </c>
      <c r="BH126" s="2">
        <v>312.947</v>
      </c>
      <c r="BI126" s="1">
        <v>40329</v>
      </c>
      <c r="BJ126" s="2">
        <v>211.166</v>
      </c>
      <c r="BK126" s="1">
        <v>40329</v>
      </c>
      <c r="BL126" s="2">
        <v>808.05709999999999</v>
      </c>
      <c r="BM126" s="1">
        <v>41851</v>
      </c>
      <c r="BN126" s="2">
        <v>2105.6239999999998</v>
      </c>
      <c r="BO126" s="1">
        <v>41943</v>
      </c>
      <c r="BP126" s="2">
        <v>261.86</v>
      </c>
    </row>
    <row r="127" spans="1:68" x14ac:dyDescent="0.25">
      <c r="A127" s="1">
        <v>40359</v>
      </c>
      <c r="B127" s="2">
        <v>2196.9259999999999</v>
      </c>
      <c r="C127" s="1">
        <v>40359</v>
      </c>
      <c r="D127" s="2">
        <v>231.9905</v>
      </c>
      <c r="E127" s="1">
        <v>40359</v>
      </c>
      <c r="F127" s="2">
        <v>196.43</v>
      </c>
      <c r="G127" s="1">
        <v>40359</v>
      </c>
      <c r="H127" s="2">
        <v>255.99959999999999</v>
      </c>
      <c r="I127" s="1">
        <v>40389</v>
      </c>
      <c r="J127" s="2">
        <v>136.33609999999999</v>
      </c>
      <c r="K127" s="1">
        <v>40359</v>
      </c>
      <c r="L127" s="2">
        <v>152.15559999999999</v>
      </c>
      <c r="M127" s="1">
        <v>40359</v>
      </c>
      <c r="N127" s="2">
        <v>132.1653</v>
      </c>
      <c r="O127" s="1">
        <v>40389</v>
      </c>
      <c r="P127" s="2">
        <v>123.9513</v>
      </c>
      <c r="Q127" s="1">
        <v>40359</v>
      </c>
      <c r="R127" s="2">
        <v>160.48699999999999</v>
      </c>
      <c r="S127" s="1">
        <v>40359</v>
      </c>
      <c r="T127" s="2">
        <v>394.9049</v>
      </c>
      <c r="U127" s="1">
        <v>40359</v>
      </c>
      <c r="V127" s="2">
        <v>250.47890000000001</v>
      </c>
      <c r="W127" s="1">
        <v>40359</v>
      </c>
      <c r="X127" s="2">
        <v>1712.72</v>
      </c>
      <c r="Y127" s="1">
        <v>40359</v>
      </c>
      <c r="Z127" s="2">
        <v>232.76</v>
      </c>
      <c r="AA127" s="1">
        <v>40724</v>
      </c>
      <c r="AB127" s="2">
        <v>414.63979999999998</v>
      </c>
      <c r="AC127" s="1">
        <v>40359</v>
      </c>
      <c r="AD127" s="2">
        <v>276.33839999999998</v>
      </c>
      <c r="AE127" s="1">
        <v>40724</v>
      </c>
      <c r="AF127" s="2">
        <v>248.51560000000001</v>
      </c>
      <c r="AG127" s="1">
        <v>40724</v>
      </c>
      <c r="AH127" s="2">
        <v>349.0788</v>
      </c>
      <c r="AI127" s="1">
        <v>40724</v>
      </c>
      <c r="AJ127" s="2">
        <v>550.39459999999997</v>
      </c>
      <c r="AK127" s="1">
        <v>40359</v>
      </c>
      <c r="AL127" s="2">
        <v>2520.96</v>
      </c>
      <c r="AM127" s="1">
        <v>40359</v>
      </c>
      <c r="AN127" s="2">
        <v>761.4</v>
      </c>
      <c r="AO127" s="1">
        <v>40359</v>
      </c>
      <c r="AP127" s="2">
        <v>1413.1</v>
      </c>
      <c r="AQ127" s="1">
        <v>40359</v>
      </c>
      <c r="AR127" s="2">
        <v>715.27</v>
      </c>
      <c r="AS127" s="1">
        <v>40359</v>
      </c>
      <c r="AT127" s="2">
        <v>4149.3500000000004</v>
      </c>
      <c r="AU127" s="1">
        <v>40359</v>
      </c>
      <c r="AV127" s="2">
        <v>1893.79</v>
      </c>
      <c r="AW127" s="1">
        <v>41820</v>
      </c>
      <c r="AX127" s="2">
        <v>4050.81</v>
      </c>
      <c r="AY127" s="1">
        <v>41759</v>
      </c>
      <c r="AZ127" s="2">
        <v>123.54</v>
      </c>
      <c r="BA127" s="1">
        <v>45443</v>
      </c>
      <c r="BB127" s="2">
        <v>2346.6</v>
      </c>
      <c r="BC127" s="1">
        <v>40359</v>
      </c>
      <c r="BD127" s="2">
        <v>1.79</v>
      </c>
      <c r="BE127" s="1">
        <v>40359</v>
      </c>
      <c r="BF127" s="2">
        <v>115.797</v>
      </c>
      <c r="BG127" s="1">
        <v>40359</v>
      </c>
      <c r="BH127" s="2">
        <v>275.74099999999999</v>
      </c>
      <c r="BI127" s="1">
        <v>40359</v>
      </c>
      <c r="BJ127" s="2">
        <v>211.44499999999999</v>
      </c>
      <c r="BK127" s="1">
        <v>40359</v>
      </c>
      <c r="BL127" s="2">
        <v>821.91880000000003</v>
      </c>
      <c r="BM127" s="1">
        <v>41880</v>
      </c>
      <c r="BN127" s="2">
        <v>2162.9270000000001</v>
      </c>
      <c r="BO127" s="1">
        <v>41971</v>
      </c>
      <c r="BP127" s="2">
        <v>265.88</v>
      </c>
    </row>
    <row r="128" spans="1:68" x14ac:dyDescent="0.25">
      <c r="A128" s="1">
        <v>40389</v>
      </c>
      <c r="B128" s="2">
        <v>2161.3220000000001</v>
      </c>
      <c r="C128" s="1">
        <v>40389</v>
      </c>
      <c r="D128" s="2">
        <v>233.11439999999999</v>
      </c>
      <c r="E128" s="1">
        <v>40389</v>
      </c>
      <c r="F128" s="2">
        <v>205.32900000000001</v>
      </c>
      <c r="G128" s="1">
        <v>40389</v>
      </c>
      <c r="H128" s="2">
        <v>267.36279999999999</v>
      </c>
      <c r="I128" s="1">
        <v>40421</v>
      </c>
      <c r="J128" s="2">
        <v>137.5258</v>
      </c>
      <c r="K128" s="1">
        <v>40389</v>
      </c>
      <c r="L128" s="2">
        <v>150.59649999999999</v>
      </c>
      <c r="M128" s="1">
        <v>40389</v>
      </c>
      <c r="N128" s="2">
        <v>131.99379999999999</v>
      </c>
      <c r="O128" s="1">
        <v>40421</v>
      </c>
      <c r="P128" s="2">
        <v>123.87009999999999</v>
      </c>
      <c r="Q128" s="1">
        <v>40389</v>
      </c>
      <c r="R128" s="2">
        <v>158.68209999999999</v>
      </c>
      <c r="S128" s="1">
        <v>40389</v>
      </c>
      <c r="T128" s="2">
        <v>398.11709999999999</v>
      </c>
      <c r="U128" s="1">
        <v>40389</v>
      </c>
      <c r="V128" s="2">
        <v>258.55579999999998</v>
      </c>
      <c r="W128" s="1">
        <v>40389</v>
      </c>
      <c r="X128" s="2">
        <v>1727.41</v>
      </c>
      <c r="Y128" s="1">
        <v>40389</v>
      </c>
      <c r="Z128" s="2">
        <v>235.696</v>
      </c>
      <c r="AA128" s="1">
        <v>40753</v>
      </c>
      <c r="AB128" s="2">
        <v>432.70269999999999</v>
      </c>
      <c r="AC128" s="1">
        <v>40389</v>
      </c>
      <c r="AD128" s="2">
        <v>292.91980000000001</v>
      </c>
      <c r="AE128" s="1">
        <v>40753</v>
      </c>
      <c r="AF128" s="2">
        <v>257.26769999999999</v>
      </c>
      <c r="AG128" s="1">
        <v>40753</v>
      </c>
      <c r="AH128" s="2">
        <v>354.71899999999999</v>
      </c>
      <c r="AI128" s="1">
        <v>40753</v>
      </c>
      <c r="AJ128" s="2">
        <v>603.88440000000003</v>
      </c>
      <c r="AK128" s="1">
        <v>40389</v>
      </c>
      <c r="AL128" s="2">
        <v>2725.34</v>
      </c>
      <c r="AM128" s="1">
        <v>40389</v>
      </c>
      <c r="AN128" s="2">
        <v>808.52</v>
      </c>
      <c r="AO128" s="1">
        <v>40389</v>
      </c>
      <c r="AP128" s="2">
        <v>1477.84</v>
      </c>
      <c r="AQ128" s="1">
        <v>40389</v>
      </c>
      <c r="AR128" s="2">
        <v>772.24</v>
      </c>
      <c r="AS128" s="1">
        <v>40389</v>
      </c>
      <c r="AT128" s="2">
        <v>4502.05</v>
      </c>
      <c r="AU128" s="1">
        <v>40389</v>
      </c>
      <c r="AV128" s="2">
        <v>2039.96</v>
      </c>
      <c r="AW128" s="1">
        <v>41851</v>
      </c>
      <c r="AX128" s="2">
        <v>3975.68</v>
      </c>
      <c r="AY128" s="1">
        <v>41789</v>
      </c>
      <c r="AZ128" s="2">
        <v>124.86</v>
      </c>
      <c r="BA128" s="1">
        <v>45471</v>
      </c>
      <c r="BB128" s="2">
        <v>2336.41</v>
      </c>
      <c r="BC128" s="1">
        <v>40389</v>
      </c>
      <c r="BD128" s="2">
        <v>1.61</v>
      </c>
      <c r="BE128" s="1">
        <v>40389</v>
      </c>
      <c r="BF128" s="2">
        <v>130.89599999999999</v>
      </c>
      <c r="BG128" s="1">
        <v>40389</v>
      </c>
      <c r="BH128" s="2">
        <v>276.19900000000001</v>
      </c>
      <c r="BI128" s="1">
        <v>40389</v>
      </c>
      <c r="BJ128" s="2">
        <v>239.09299999999999</v>
      </c>
      <c r="BK128" s="1">
        <v>40389</v>
      </c>
      <c r="BL128" s="2">
        <v>851.86720000000003</v>
      </c>
      <c r="BM128" s="1">
        <v>41912</v>
      </c>
      <c r="BN128" s="2">
        <v>2107.8359999999998</v>
      </c>
      <c r="BO128" s="1">
        <v>42004</v>
      </c>
      <c r="BP128" s="2">
        <v>245.06</v>
      </c>
    </row>
    <row r="129" spans="1:68" x14ac:dyDescent="0.25">
      <c r="A129" s="1">
        <v>40421</v>
      </c>
      <c r="B129" s="2">
        <v>2279.0360000000001</v>
      </c>
      <c r="C129" s="1">
        <v>40421</v>
      </c>
      <c r="D129" s="2">
        <v>228.51480000000001</v>
      </c>
      <c r="E129" s="1">
        <v>40421</v>
      </c>
      <c r="F129" s="2">
        <v>196.15100000000001</v>
      </c>
      <c r="G129" s="1">
        <v>40421</v>
      </c>
      <c r="H129" s="2">
        <v>263.52569999999997</v>
      </c>
      <c r="I129" s="1">
        <v>40451</v>
      </c>
      <c r="J129" s="2">
        <v>137.71190000000001</v>
      </c>
      <c r="K129" s="1">
        <v>40421</v>
      </c>
      <c r="L129" s="2">
        <v>149.52760000000001</v>
      </c>
      <c r="M129" s="1">
        <v>40421</v>
      </c>
      <c r="N129" s="2">
        <v>138.416</v>
      </c>
      <c r="O129" s="1">
        <v>40451</v>
      </c>
      <c r="P129" s="2">
        <v>124.401</v>
      </c>
      <c r="Q129" s="1">
        <v>40421</v>
      </c>
      <c r="R129" s="2">
        <v>158.22489999999999</v>
      </c>
      <c r="S129" s="1">
        <v>40421</v>
      </c>
      <c r="T129" s="2">
        <v>404.72539999999998</v>
      </c>
      <c r="U129" s="1">
        <v>40421</v>
      </c>
      <c r="V129" s="2">
        <v>262.66759999999999</v>
      </c>
      <c r="W129" s="1">
        <v>40421</v>
      </c>
      <c r="X129" s="2">
        <v>1730.07</v>
      </c>
      <c r="Y129" s="1">
        <v>40421</v>
      </c>
      <c r="Z129" s="2">
        <v>199.667</v>
      </c>
      <c r="AA129" s="1">
        <v>40786</v>
      </c>
      <c r="AB129" s="2">
        <v>441.16489999999999</v>
      </c>
      <c r="AC129" s="1">
        <v>40421</v>
      </c>
      <c r="AD129" s="2">
        <v>289.43669999999997</v>
      </c>
      <c r="AE129" s="1">
        <v>40786</v>
      </c>
      <c r="AF129" s="2">
        <v>273.39729999999997</v>
      </c>
      <c r="AG129" s="1">
        <v>40786</v>
      </c>
      <c r="AH129" s="2">
        <v>339.98779999999999</v>
      </c>
      <c r="AI129" s="1">
        <v>40786</v>
      </c>
      <c r="AJ129" s="2">
        <v>667.92070000000001</v>
      </c>
      <c r="AK129" s="1">
        <v>40421</v>
      </c>
      <c r="AL129" s="2">
        <v>2623.59</v>
      </c>
      <c r="AM129" s="1">
        <v>40421</v>
      </c>
      <c r="AN129" s="2">
        <v>785.55</v>
      </c>
      <c r="AO129" s="1">
        <v>40421</v>
      </c>
      <c r="AP129" s="2">
        <v>1482.71</v>
      </c>
      <c r="AQ129" s="1">
        <v>40421</v>
      </c>
      <c r="AR129" s="2">
        <v>737.46</v>
      </c>
      <c r="AS129" s="1">
        <v>40421</v>
      </c>
      <c r="AT129" s="2">
        <v>4325.95</v>
      </c>
      <c r="AU129" s="1">
        <v>40421</v>
      </c>
      <c r="AV129" s="2">
        <v>1967.42</v>
      </c>
      <c r="AW129" s="1">
        <v>41880</v>
      </c>
      <c r="AX129" s="2">
        <v>4065.81</v>
      </c>
      <c r="AY129" s="1">
        <v>41820</v>
      </c>
      <c r="AZ129" s="2">
        <v>128.36000000000001</v>
      </c>
      <c r="BA129" s="1">
        <v>45504</v>
      </c>
      <c r="BB129" s="2">
        <v>2426.9699999999998</v>
      </c>
      <c r="BC129" s="1">
        <v>40421</v>
      </c>
      <c r="BD129" s="2">
        <v>1.7</v>
      </c>
      <c r="BE129" s="1">
        <v>40421</v>
      </c>
      <c r="BF129" s="2">
        <v>113.736</v>
      </c>
      <c r="BG129" s="1">
        <v>40421</v>
      </c>
      <c r="BH129" s="2">
        <v>233.31200000000001</v>
      </c>
      <c r="BI129" s="1">
        <v>40421</v>
      </c>
      <c r="BJ129" s="2">
        <v>218.35900000000001</v>
      </c>
      <c r="BK129" s="1">
        <v>40421</v>
      </c>
      <c r="BL129" s="2">
        <v>868.4982</v>
      </c>
      <c r="BM129" s="1">
        <v>41943</v>
      </c>
      <c r="BN129" s="2">
        <v>2132.538</v>
      </c>
      <c r="BO129" s="1">
        <v>42034</v>
      </c>
      <c r="BP129" s="2">
        <v>236.09</v>
      </c>
    </row>
    <row r="130" spans="1:68" x14ac:dyDescent="0.25">
      <c r="A130" s="1">
        <v>40451</v>
      </c>
      <c r="B130" s="2">
        <v>2339.1849999999999</v>
      </c>
      <c r="C130" s="1">
        <v>40451</v>
      </c>
      <c r="D130" s="2">
        <v>237.35329999999999</v>
      </c>
      <c r="E130" s="1">
        <v>40451</v>
      </c>
      <c r="F130" s="2">
        <v>206.76599999999999</v>
      </c>
      <c r="G130" s="1">
        <v>40451</v>
      </c>
      <c r="H130" s="2">
        <v>279.8811</v>
      </c>
      <c r="I130" s="1">
        <v>40480</v>
      </c>
      <c r="J130" s="2">
        <v>138.61940000000001</v>
      </c>
      <c r="K130" s="1">
        <v>40451</v>
      </c>
      <c r="L130" s="2">
        <v>149.47409999999999</v>
      </c>
      <c r="M130" s="1">
        <v>40451</v>
      </c>
      <c r="N130" s="2">
        <v>136.3672</v>
      </c>
      <c r="O130" s="1">
        <v>40480</v>
      </c>
      <c r="P130" s="2">
        <v>125.77849999999999</v>
      </c>
      <c r="Q130" s="1">
        <v>40451</v>
      </c>
      <c r="R130" s="2">
        <v>160.3186</v>
      </c>
      <c r="S130" s="1">
        <v>40451</v>
      </c>
      <c r="T130" s="2">
        <v>403.82150000000001</v>
      </c>
      <c r="U130" s="1">
        <v>40451</v>
      </c>
      <c r="V130" s="2">
        <v>270.47699999999998</v>
      </c>
      <c r="W130" s="1">
        <v>40451</v>
      </c>
      <c r="X130" s="2">
        <v>1723.47</v>
      </c>
      <c r="Y130" s="1">
        <v>40451</v>
      </c>
      <c r="Z130" s="2">
        <v>208.54900000000001</v>
      </c>
      <c r="AA130" s="1">
        <v>40816</v>
      </c>
      <c r="AB130" s="2">
        <v>378.20870000000002</v>
      </c>
      <c r="AC130" s="1">
        <v>40451</v>
      </c>
      <c r="AD130" s="2">
        <v>309.36020000000002</v>
      </c>
      <c r="AE130" s="1">
        <v>40816</v>
      </c>
      <c r="AF130" s="2">
        <v>235.18520000000001</v>
      </c>
      <c r="AG130" s="1">
        <v>40816</v>
      </c>
      <c r="AH130" s="2">
        <v>301.94729999999998</v>
      </c>
      <c r="AI130" s="1">
        <v>40816</v>
      </c>
      <c r="AJ130" s="2">
        <v>570.20209999999997</v>
      </c>
      <c r="AK130" s="1">
        <v>40451</v>
      </c>
      <c r="AL130" s="2">
        <v>2868.23</v>
      </c>
      <c r="AM130" s="1">
        <v>40451</v>
      </c>
      <c r="AN130" s="2">
        <v>859.57</v>
      </c>
      <c r="AO130" s="1">
        <v>40451</v>
      </c>
      <c r="AP130" s="2">
        <v>1568.35</v>
      </c>
      <c r="AQ130" s="1">
        <v>40451</v>
      </c>
      <c r="AR130" s="2">
        <v>823.44</v>
      </c>
      <c r="AS130" s="1">
        <v>40451</v>
      </c>
      <c r="AT130" s="2">
        <v>4677.7</v>
      </c>
      <c r="AU130" s="1">
        <v>40451</v>
      </c>
      <c r="AV130" s="2">
        <v>2174.2800000000002</v>
      </c>
      <c r="AW130" s="1">
        <v>41912</v>
      </c>
      <c r="AX130" s="2">
        <v>3971.92</v>
      </c>
      <c r="AY130" s="1">
        <v>41851</v>
      </c>
      <c r="AZ130" s="2">
        <v>122.93</v>
      </c>
      <c r="BA130" s="1">
        <v>45534</v>
      </c>
      <c r="BB130" s="2">
        <v>2428.2399999999998</v>
      </c>
      <c r="BC130" s="1">
        <v>40451</v>
      </c>
      <c r="BD130" s="2">
        <v>1.6</v>
      </c>
      <c r="BE130" s="1">
        <v>40451</v>
      </c>
      <c r="BF130" s="2">
        <v>124.705</v>
      </c>
      <c r="BG130" s="1">
        <v>40451</v>
      </c>
      <c r="BH130" s="2">
        <v>235.339</v>
      </c>
      <c r="BI130" s="1">
        <v>40451</v>
      </c>
      <c r="BJ130" s="2">
        <v>242.12100000000001</v>
      </c>
      <c r="BK130" s="1">
        <v>40451</v>
      </c>
      <c r="BL130" s="2">
        <v>889.15499999999997</v>
      </c>
      <c r="BM130" s="1">
        <v>41971</v>
      </c>
      <c r="BN130" s="2">
        <v>2190.6970000000001</v>
      </c>
      <c r="BO130" s="1">
        <v>42062</v>
      </c>
      <c r="BP130" s="2">
        <v>251.4</v>
      </c>
    </row>
    <row r="131" spans="1:68" x14ac:dyDescent="0.25">
      <c r="A131" s="1">
        <v>40480</v>
      </c>
      <c r="B131" s="2">
        <v>2454.8679999999999</v>
      </c>
      <c r="C131" s="1">
        <v>40480</v>
      </c>
      <c r="D131" s="2">
        <v>238.63030000000001</v>
      </c>
      <c r="E131" s="1">
        <v>40480</v>
      </c>
      <c r="F131" s="2">
        <v>208.95500000000001</v>
      </c>
      <c r="G131" s="1">
        <v>40480</v>
      </c>
      <c r="H131" s="2">
        <v>284.74990000000003</v>
      </c>
      <c r="I131" s="1">
        <v>40512</v>
      </c>
      <c r="J131" s="2">
        <v>137.4152</v>
      </c>
      <c r="K131" s="1">
        <v>40480</v>
      </c>
      <c r="L131" s="2">
        <v>151.09610000000001</v>
      </c>
      <c r="M131" s="1">
        <v>40480</v>
      </c>
      <c r="N131" s="2">
        <v>135.21440000000001</v>
      </c>
      <c r="O131" s="1">
        <v>40512</v>
      </c>
      <c r="P131" s="2">
        <v>125.6902</v>
      </c>
      <c r="Q131" s="1">
        <v>40480</v>
      </c>
      <c r="R131" s="2">
        <v>162.16210000000001</v>
      </c>
      <c r="S131" s="1">
        <v>40480</v>
      </c>
      <c r="T131" s="2">
        <v>403.4599</v>
      </c>
      <c r="U131" s="1">
        <v>40480</v>
      </c>
      <c r="V131" s="2">
        <v>275.28289999999998</v>
      </c>
      <c r="W131" s="1">
        <v>40480</v>
      </c>
      <c r="X131" s="2">
        <v>1740.35</v>
      </c>
      <c r="Y131" s="1">
        <v>40480</v>
      </c>
      <c r="Z131" s="2">
        <v>226.14699999999999</v>
      </c>
      <c r="AA131" s="1">
        <v>40847</v>
      </c>
      <c r="AB131" s="2">
        <v>403.2826</v>
      </c>
      <c r="AC131" s="1">
        <v>40480</v>
      </c>
      <c r="AD131" s="2">
        <v>325.91559999999998</v>
      </c>
      <c r="AE131" s="1">
        <v>40847</v>
      </c>
      <c r="AF131" s="2">
        <v>241.0727</v>
      </c>
      <c r="AG131" s="1">
        <v>40847</v>
      </c>
      <c r="AH131" s="2">
        <v>333.28399999999999</v>
      </c>
      <c r="AI131" s="1">
        <v>40847</v>
      </c>
      <c r="AJ131" s="2">
        <v>613.77869999999996</v>
      </c>
      <c r="AK131" s="1">
        <v>40480</v>
      </c>
      <c r="AL131" s="2">
        <v>2975.15</v>
      </c>
      <c r="AM131" s="1">
        <v>40480</v>
      </c>
      <c r="AN131" s="2">
        <v>897.05</v>
      </c>
      <c r="AO131" s="1">
        <v>40480</v>
      </c>
      <c r="AP131" s="2">
        <v>1610.06</v>
      </c>
      <c r="AQ131" s="1">
        <v>40480</v>
      </c>
      <c r="AR131" s="2">
        <v>860.43</v>
      </c>
      <c r="AS131" s="1">
        <v>40480</v>
      </c>
      <c r="AT131" s="2">
        <v>4827.76</v>
      </c>
      <c r="AU131" s="1">
        <v>40480</v>
      </c>
      <c r="AV131" s="2">
        <v>2266.37</v>
      </c>
      <c r="AW131" s="1">
        <v>41943</v>
      </c>
      <c r="AX131" s="2">
        <v>4031.22</v>
      </c>
      <c r="AY131" s="1">
        <v>41880</v>
      </c>
      <c r="AZ131" s="2">
        <v>125.69</v>
      </c>
      <c r="BA131" s="1">
        <v>45565</v>
      </c>
      <c r="BB131" s="2">
        <v>2443.88</v>
      </c>
      <c r="BC131" s="1">
        <v>40480</v>
      </c>
      <c r="BD131" s="2">
        <v>1.53</v>
      </c>
      <c r="BE131" s="1">
        <v>40480</v>
      </c>
      <c r="BF131" s="2">
        <v>143.34299999999999</v>
      </c>
      <c r="BG131" s="1">
        <v>40480</v>
      </c>
      <c r="BH131" s="2">
        <v>248.55</v>
      </c>
      <c r="BI131" s="1">
        <v>40480</v>
      </c>
      <c r="BJ131" s="2">
        <v>281.60199999999998</v>
      </c>
      <c r="BK131" s="1">
        <v>40480</v>
      </c>
      <c r="BL131" s="2">
        <v>901.53650000000005</v>
      </c>
      <c r="BM131" s="1">
        <v>42004</v>
      </c>
      <c r="BN131" s="2">
        <v>2154.6309999999999</v>
      </c>
      <c r="BO131" s="1">
        <v>42094</v>
      </c>
      <c r="BP131" s="2">
        <v>254.85</v>
      </c>
    </row>
    <row r="132" spans="1:68" x14ac:dyDescent="0.25">
      <c r="A132" s="1">
        <v>40512</v>
      </c>
      <c r="B132" s="2">
        <v>2359.6460000000002</v>
      </c>
      <c r="C132" s="1">
        <v>40512</v>
      </c>
      <c r="D132" s="2">
        <v>235.64500000000001</v>
      </c>
      <c r="E132" s="1">
        <v>40512</v>
      </c>
      <c r="F132" s="2">
        <v>206.697</v>
      </c>
      <c r="G132" s="1">
        <v>40512</v>
      </c>
      <c r="H132" s="2">
        <v>275.13729999999998</v>
      </c>
      <c r="I132" s="1">
        <v>40543</v>
      </c>
      <c r="J132" s="2">
        <v>138.7697</v>
      </c>
      <c r="K132" s="1">
        <v>40512</v>
      </c>
      <c r="L132" s="2">
        <v>151.73410000000001</v>
      </c>
      <c r="M132" s="1">
        <v>40512</v>
      </c>
      <c r="N132" s="2">
        <v>132.45599999999999</v>
      </c>
      <c r="O132" s="1">
        <v>40543</v>
      </c>
      <c r="P132" s="2">
        <v>127.6712</v>
      </c>
      <c r="Q132" s="1">
        <v>40512</v>
      </c>
      <c r="R132" s="2">
        <v>159.30789999999999</v>
      </c>
      <c r="S132" s="1">
        <v>40512</v>
      </c>
      <c r="T132" s="2">
        <v>399.12</v>
      </c>
      <c r="U132" s="1">
        <v>40512</v>
      </c>
      <c r="V132" s="2">
        <v>263.4966</v>
      </c>
      <c r="W132" s="1">
        <v>40512</v>
      </c>
      <c r="X132" s="2">
        <v>1737.22</v>
      </c>
      <c r="Y132" s="1">
        <v>40512</v>
      </c>
      <c r="Z132" s="2">
        <v>234.18600000000001</v>
      </c>
      <c r="AA132" s="1">
        <v>40877</v>
      </c>
      <c r="AB132" s="2">
        <v>398.11250000000001</v>
      </c>
      <c r="AC132" s="1">
        <v>40512</v>
      </c>
      <c r="AD132" s="2">
        <v>324.56610000000001</v>
      </c>
      <c r="AE132" s="1">
        <v>40877</v>
      </c>
      <c r="AF132" s="2">
        <v>229.05770000000001</v>
      </c>
      <c r="AG132" s="1">
        <v>40877</v>
      </c>
      <c r="AH132" s="2">
        <v>342.79969999999997</v>
      </c>
      <c r="AI132" s="1">
        <v>40877</v>
      </c>
      <c r="AJ132" s="2">
        <v>615.81010000000003</v>
      </c>
      <c r="AK132" s="1">
        <v>40512</v>
      </c>
      <c r="AL132" s="2">
        <v>2910.92</v>
      </c>
      <c r="AM132" s="1">
        <v>40512</v>
      </c>
      <c r="AN132" s="2">
        <v>881.46</v>
      </c>
      <c r="AO132" s="1">
        <v>40512</v>
      </c>
      <c r="AP132" s="2">
        <v>1574.06</v>
      </c>
      <c r="AQ132" s="1">
        <v>40512</v>
      </c>
      <c r="AR132" s="2">
        <v>864.12</v>
      </c>
      <c r="AS132" s="1">
        <v>40512</v>
      </c>
      <c r="AT132" s="2">
        <v>4668.93</v>
      </c>
      <c r="AU132" s="1">
        <v>40512</v>
      </c>
      <c r="AV132" s="2">
        <v>2242.1999999999998</v>
      </c>
      <c r="AW132" s="1">
        <v>41971</v>
      </c>
      <c r="AX132" s="2">
        <v>4078.46</v>
      </c>
      <c r="AY132" s="1">
        <v>41912</v>
      </c>
      <c r="AZ132" s="2">
        <v>118.15</v>
      </c>
      <c r="BA132" s="1">
        <v>45596</v>
      </c>
      <c r="BB132" s="2">
        <v>2479.39</v>
      </c>
      <c r="BC132" s="1">
        <v>40512</v>
      </c>
      <c r="BD132" s="2">
        <v>1.59</v>
      </c>
      <c r="BE132" s="1">
        <v>40512</v>
      </c>
      <c r="BF132" s="2">
        <v>133.08500000000001</v>
      </c>
      <c r="BG132" s="1">
        <v>40512</v>
      </c>
      <c r="BH132" s="2">
        <v>263.32600000000002</v>
      </c>
      <c r="BI132" s="1">
        <v>40512</v>
      </c>
      <c r="BJ132" s="2">
        <v>264.35599999999999</v>
      </c>
      <c r="BK132" s="1">
        <v>40512</v>
      </c>
      <c r="BL132" s="2">
        <v>858.4393</v>
      </c>
      <c r="BM132" s="1">
        <v>42034</v>
      </c>
      <c r="BN132" s="2">
        <v>2137.864</v>
      </c>
      <c r="BO132" s="1">
        <v>42124</v>
      </c>
      <c r="BP132" s="2">
        <v>261.11</v>
      </c>
    </row>
    <row r="133" spans="1:68" x14ac:dyDescent="0.25">
      <c r="A133" s="1">
        <v>40543</v>
      </c>
      <c r="B133" s="2">
        <v>2493.3910000000001</v>
      </c>
      <c r="C133" s="1">
        <v>40543</v>
      </c>
      <c r="D133" s="2">
        <v>239.5018</v>
      </c>
      <c r="E133" s="1">
        <v>40543</v>
      </c>
      <c r="F133" s="2">
        <v>212.27500000000001</v>
      </c>
      <c r="G133" s="1">
        <v>40543</v>
      </c>
      <c r="H133" s="2">
        <v>283.59300000000002</v>
      </c>
      <c r="I133" s="1">
        <v>40574</v>
      </c>
      <c r="J133" s="2">
        <v>138.9522</v>
      </c>
      <c r="K133" s="1">
        <v>40543</v>
      </c>
      <c r="L133" s="2">
        <v>154.1893</v>
      </c>
      <c r="M133" s="1">
        <v>40543</v>
      </c>
      <c r="N133" s="2">
        <v>130.1173</v>
      </c>
      <c r="O133" s="1">
        <v>40574</v>
      </c>
      <c r="P133" s="2">
        <v>128.16679999999999</v>
      </c>
      <c r="Q133" s="1">
        <v>40543</v>
      </c>
      <c r="R133" s="2">
        <v>162.3518</v>
      </c>
      <c r="S133" s="1">
        <v>40543</v>
      </c>
      <c r="T133" s="2">
        <v>397.24869999999999</v>
      </c>
      <c r="U133" s="1">
        <v>40543</v>
      </c>
      <c r="V133" s="2">
        <v>267.54450000000003</v>
      </c>
      <c r="W133" s="1">
        <v>40543</v>
      </c>
      <c r="X133" s="2">
        <v>1727.67</v>
      </c>
      <c r="Y133" s="1">
        <v>40543</v>
      </c>
      <c r="Z133" s="2">
        <v>269.81099999999998</v>
      </c>
      <c r="AA133" s="1">
        <v>40907</v>
      </c>
      <c r="AB133" s="2">
        <v>385.49509999999998</v>
      </c>
      <c r="AC133" s="1">
        <v>40543</v>
      </c>
      <c r="AD133" s="2">
        <v>359.10019999999997</v>
      </c>
      <c r="AE133" s="1">
        <v>40907</v>
      </c>
      <c r="AF133" s="2">
        <v>235.5489</v>
      </c>
      <c r="AG133" s="1">
        <v>40907</v>
      </c>
      <c r="AH133" s="2">
        <v>333.33019999999999</v>
      </c>
      <c r="AI133" s="1">
        <v>40907</v>
      </c>
      <c r="AJ133" s="2">
        <v>546.8107</v>
      </c>
      <c r="AK133" s="1">
        <v>40543</v>
      </c>
      <c r="AL133" s="2">
        <v>3124.94</v>
      </c>
      <c r="AM133" s="1">
        <v>40543</v>
      </c>
      <c r="AN133" s="2">
        <v>930.08</v>
      </c>
      <c r="AO133" s="1">
        <v>40543</v>
      </c>
      <c r="AP133" s="2">
        <v>1646.67</v>
      </c>
      <c r="AQ133" s="1">
        <v>40543</v>
      </c>
      <c r="AR133" s="2">
        <v>911.25</v>
      </c>
      <c r="AS133" s="1">
        <v>40543</v>
      </c>
      <c r="AT133" s="2">
        <v>5041.09</v>
      </c>
      <c r="AU133" s="1">
        <v>40543</v>
      </c>
      <c r="AV133" s="2">
        <v>2393.62</v>
      </c>
      <c r="AW133" s="1">
        <v>42004</v>
      </c>
      <c r="AX133" s="2">
        <v>3985.13</v>
      </c>
      <c r="AY133" s="1">
        <v>41943</v>
      </c>
      <c r="AZ133" s="2">
        <v>118.64</v>
      </c>
      <c r="BA133" s="1">
        <v>45625</v>
      </c>
      <c r="BB133" s="2">
        <v>2516.1</v>
      </c>
      <c r="BC133" s="1">
        <v>40543</v>
      </c>
      <c r="BD133" s="2">
        <v>1.46</v>
      </c>
      <c r="BE133" s="1">
        <v>40543</v>
      </c>
      <c r="BF133" s="2">
        <v>128.78</v>
      </c>
      <c r="BG133" s="1">
        <v>40543</v>
      </c>
      <c r="BH133" s="2">
        <v>317.06900000000002</v>
      </c>
      <c r="BI133" s="1">
        <v>40543</v>
      </c>
      <c r="BJ133" s="2">
        <v>232.744</v>
      </c>
      <c r="BK133" s="1">
        <v>40543</v>
      </c>
      <c r="BL133" s="2">
        <v>873.53430000000003</v>
      </c>
      <c r="BM133" s="1">
        <v>42062</v>
      </c>
      <c r="BN133" s="2">
        <v>2272.127</v>
      </c>
      <c r="BO133" s="1">
        <v>42153</v>
      </c>
      <c r="BP133" s="2">
        <v>268</v>
      </c>
    </row>
    <row r="134" spans="1:68" x14ac:dyDescent="0.25">
      <c r="A134" s="1">
        <v>40574</v>
      </c>
      <c r="B134" s="2">
        <v>2464.7310000000002</v>
      </c>
      <c r="C134" s="1">
        <v>40574</v>
      </c>
      <c r="D134" s="2">
        <v>237.13200000000001</v>
      </c>
      <c r="E134" s="1">
        <v>40574</v>
      </c>
      <c r="F134" s="2">
        <v>212.285</v>
      </c>
      <c r="G134" s="1">
        <v>40574</v>
      </c>
      <c r="H134" s="2">
        <v>282.4314</v>
      </c>
      <c r="I134" s="1">
        <v>40602</v>
      </c>
      <c r="J134" s="2">
        <v>139.80090000000001</v>
      </c>
      <c r="K134" s="1">
        <v>40574</v>
      </c>
      <c r="L134" s="2">
        <v>155.3707</v>
      </c>
      <c r="M134" s="1">
        <v>40574</v>
      </c>
      <c r="N134" s="2">
        <v>129.81</v>
      </c>
      <c r="O134" s="1">
        <v>40602</v>
      </c>
      <c r="P134" s="2">
        <v>129.18549999999999</v>
      </c>
      <c r="Q134" s="1">
        <v>40574</v>
      </c>
      <c r="R134" s="2">
        <v>161.7732</v>
      </c>
      <c r="S134" s="1">
        <v>40574</v>
      </c>
      <c r="T134" s="2">
        <v>396.0181</v>
      </c>
      <c r="U134" s="1">
        <v>40574</v>
      </c>
      <c r="V134" s="2">
        <v>269.3451</v>
      </c>
      <c r="W134" s="1">
        <v>40574</v>
      </c>
      <c r="X134" s="2">
        <v>1728.56</v>
      </c>
      <c r="Y134" s="1">
        <v>40574</v>
      </c>
      <c r="Z134" s="2">
        <v>280.64699999999999</v>
      </c>
      <c r="AA134" s="1">
        <v>40939</v>
      </c>
      <c r="AB134" s="2">
        <v>406.90109999999999</v>
      </c>
      <c r="AC134" s="1">
        <v>40574</v>
      </c>
      <c r="AD134" s="2">
        <v>366.17959999999999</v>
      </c>
      <c r="AE134" s="1">
        <v>40939</v>
      </c>
      <c r="AF134" s="2">
        <v>235.86279999999999</v>
      </c>
      <c r="AG134" s="1">
        <v>40939</v>
      </c>
      <c r="AH134" s="2">
        <v>340.24520000000001</v>
      </c>
      <c r="AI134" s="1">
        <v>40939</v>
      </c>
      <c r="AJ134" s="2">
        <v>617.38019999999995</v>
      </c>
      <c r="AK134" s="1">
        <v>40574</v>
      </c>
      <c r="AL134" s="2">
        <v>3195.54</v>
      </c>
      <c r="AM134" s="1">
        <v>40574</v>
      </c>
      <c r="AN134" s="2">
        <v>939.32</v>
      </c>
      <c r="AO134" s="1">
        <v>40574</v>
      </c>
      <c r="AP134" s="2">
        <v>1641.48</v>
      </c>
      <c r="AQ134" s="1">
        <v>40574</v>
      </c>
      <c r="AR134" s="2">
        <v>918.04</v>
      </c>
      <c r="AS134" s="1">
        <v>40574</v>
      </c>
      <c r="AT134" s="2">
        <v>5214.68</v>
      </c>
      <c r="AU134" s="1">
        <v>40574</v>
      </c>
      <c r="AV134" s="2">
        <v>2419.94</v>
      </c>
      <c r="AW134" s="1">
        <v>42034</v>
      </c>
      <c r="AX134" s="2">
        <v>4066.52</v>
      </c>
      <c r="AY134" s="1">
        <v>41971</v>
      </c>
      <c r="AZ134" s="2">
        <v>122.46</v>
      </c>
      <c r="BA134" s="1">
        <v>45657</v>
      </c>
      <c r="BB134" s="2">
        <v>2508.37</v>
      </c>
      <c r="BC134" s="1">
        <v>40574</v>
      </c>
      <c r="BD134" s="2">
        <v>1.4</v>
      </c>
      <c r="BE134" s="1">
        <v>40574</v>
      </c>
      <c r="BF134" s="2">
        <v>143.00700000000001</v>
      </c>
      <c r="BG134" s="1">
        <v>40574</v>
      </c>
      <c r="BH134" s="2">
        <v>322.22699999999998</v>
      </c>
      <c r="BI134" s="1">
        <v>40574</v>
      </c>
      <c r="BJ134" s="2">
        <v>262.98399999999998</v>
      </c>
      <c r="BK134" s="1">
        <v>40574</v>
      </c>
      <c r="BL134" s="2">
        <v>873.38869999999997</v>
      </c>
      <c r="BM134" s="1">
        <v>42094</v>
      </c>
      <c r="BN134" s="2">
        <v>2249.4580000000001</v>
      </c>
      <c r="BO134" s="1">
        <v>42185</v>
      </c>
      <c r="BP134" s="2">
        <v>262.95</v>
      </c>
    </row>
    <row r="135" spans="1:68" x14ac:dyDescent="0.25">
      <c r="A135" s="1">
        <v>40602</v>
      </c>
      <c r="B135" s="2">
        <v>2510.5619999999999</v>
      </c>
      <c r="C135" s="1">
        <v>40602</v>
      </c>
      <c r="D135" s="2">
        <v>240.1139</v>
      </c>
      <c r="E135" s="1">
        <v>40602</v>
      </c>
      <c r="F135" s="2">
        <v>213.446</v>
      </c>
      <c r="G135" s="1">
        <v>40602</v>
      </c>
      <c r="H135" s="2">
        <v>287.17950000000002</v>
      </c>
      <c r="I135" s="1">
        <v>40633</v>
      </c>
      <c r="J135" s="2">
        <v>139.85230000000001</v>
      </c>
      <c r="K135" s="1">
        <v>40602</v>
      </c>
      <c r="L135" s="2">
        <v>157.0849</v>
      </c>
      <c r="M135" s="1">
        <v>40602</v>
      </c>
      <c r="N135" s="2">
        <v>128.93180000000001</v>
      </c>
      <c r="O135" s="1">
        <v>40633</v>
      </c>
      <c r="P135" s="2">
        <v>129.3013</v>
      </c>
      <c r="Q135" s="1">
        <v>40602</v>
      </c>
      <c r="R135" s="2">
        <v>163.3537</v>
      </c>
      <c r="S135" s="1">
        <v>40602</v>
      </c>
      <c r="T135" s="2">
        <v>396.7396</v>
      </c>
      <c r="U135" s="1">
        <v>40602</v>
      </c>
      <c r="V135" s="2">
        <v>274.33030000000002</v>
      </c>
      <c r="W135" s="1">
        <v>40602</v>
      </c>
      <c r="X135" s="2">
        <v>1732.9</v>
      </c>
      <c r="Y135" s="1">
        <v>40602</v>
      </c>
      <c r="Z135" s="2">
        <v>274.48700000000002</v>
      </c>
      <c r="AA135" s="1">
        <v>40968</v>
      </c>
      <c r="AB135" s="2">
        <v>417.85879999999997</v>
      </c>
      <c r="AC135" s="1">
        <v>40602</v>
      </c>
      <c r="AD135" s="2">
        <v>373.29680000000002</v>
      </c>
      <c r="AE135" s="1">
        <v>40968</v>
      </c>
      <c r="AF135" s="2">
        <v>242.3159</v>
      </c>
      <c r="AG135" s="1">
        <v>40968</v>
      </c>
      <c r="AH135" s="2">
        <v>366.13619999999997</v>
      </c>
      <c r="AI135" s="1">
        <v>40968</v>
      </c>
      <c r="AJ135" s="2">
        <v>616.97619999999995</v>
      </c>
      <c r="AK135" s="1">
        <v>40602</v>
      </c>
      <c r="AL135" s="2">
        <v>3307.42</v>
      </c>
      <c r="AM135" s="1">
        <v>40602</v>
      </c>
      <c r="AN135" s="2">
        <v>965.16</v>
      </c>
      <c r="AO135" s="1">
        <v>40602</v>
      </c>
      <c r="AP135" s="2">
        <v>1688.32</v>
      </c>
      <c r="AQ135" s="1">
        <v>40602</v>
      </c>
      <c r="AR135" s="2">
        <v>951.7</v>
      </c>
      <c r="AS135" s="1">
        <v>40602</v>
      </c>
      <c r="AT135" s="2">
        <v>5418.8</v>
      </c>
      <c r="AU135" s="1">
        <v>40602</v>
      </c>
      <c r="AV135" s="2">
        <v>2494.67</v>
      </c>
      <c r="AW135" s="1">
        <v>42062</v>
      </c>
      <c r="AX135" s="2">
        <v>4151.96</v>
      </c>
      <c r="AY135" s="1">
        <v>42004</v>
      </c>
      <c r="AZ135" s="2">
        <v>119.74</v>
      </c>
      <c r="BA135" s="1">
        <v>45688</v>
      </c>
      <c r="BB135" s="2">
        <v>2518.75</v>
      </c>
      <c r="BC135" s="1">
        <v>40602</v>
      </c>
      <c r="BD135" s="2">
        <v>1.31</v>
      </c>
      <c r="BE135" s="1">
        <v>40602</v>
      </c>
      <c r="BF135" s="2">
        <v>128.91399999999999</v>
      </c>
      <c r="BG135" s="1">
        <v>40602</v>
      </c>
      <c r="BH135" s="2">
        <v>328.90899999999999</v>
      </c>
      <c r="BI135" s="1">
        <v>40602</v>
      </c>
      <c r="BJ135" s="2">
        <v>236.16800000000001</v>
      </c>
      <c r="BK135" s="1">
        <v>40602</v>
      </c>
      <c r="BL135" s="2">
        <v>876.73230000000001</v>
      </c>
      <c r="BM135" s="1">
        <v>42124</v>
      </c>
      <c r="BN135" s="2">
        <v>2285.627</v>
      </c>
      <c r="BO135" s="1">
        <v>42216</v>
      </c>
      <c r="BP135" s="2">
        <v>276.56</v>
      </c>
    </row>
    <row r="136" spans="1:68" x14ac:dyDescent="0.25">
      <c r="A136" s="1">
        <v>40633</v>
      </c>
      <c r="B136" s="2">
        <v>2408.201</v>
      </c>
      <c r="C136" s="1">
        <v>40633</v>
      </c>
      <c r="D136" s="2">
        <v>243.53110000000001</v>
      </c>
      <c r="E136" s="1">
        <v>40633</v>
      </c>
      <c r="F136" s="2">
        <v>217.16</v>
      </c>
      <c r="G136" s="1">
        <v>40633</v>
      </c>
      <c r="H136" s="2">
        <v>295.60149999999999</v>
      </c>
      <c r="I136" s="1">
        <v>40662</v>
      </c>
      <c r="J136" s="2">
        <v>141.9564</v>
      </c>
      <c r="K136" s="1">
        <v>40633</v>
      </c>
      <c r="L136" s="2">
        <v>154.0205</v>
      </c>
      <c r="M136" s="1">
        <v>40633</v>
      </c>
      <c r="N136" s="2">
        <v>128.8528</v>
      </c>
      <c r="O136" s="1">
        <v>40662</v>
      </c>
      <c r="P136" s="2">
        <v>130.68119999999999</v>
      </c>
      <c r="Q136" s="1">
        <v>40633</v>
      </c>
      <c r="R136" s="2">
        <v>165.98740000000001</v>
      </c>
      <c r="S136" s="1">
        <v>40633</v>
      </c>
      <c r="T136" s="2">
        <v>396.43889999999999</v>
      </c>
      <c r="U136" s="1">
        <v>40633</v>
      </c>
      <c r="V136" s="2">
        <v>277.15899999999999</v>
      </c>
      <c r="W136" s="1">
        <v>40633</v>
      </c>
      <c r="X136" s="2">
        <v>1737.73</v>
      </c>
      <c r="Y136" s="1">
        <v>40633</v>
      </c>
      <c r="Z136" s="2">
        <v>264.70800000000003</v>
      </c>
      <c r="AA136" s="1">
        <v>40998</v>
      </c>
      <c r="AB136" s="2">
        <v>407.56299999999999</v>
      </c>
      <c r="AC136" s="1">
        <v>40633</v>
      </c>
      <c r="AD136" s="2">
        <v>382.96230000000003</v>
      </c>
      <c r="AE136" s="1">
        <v>40998</v>
      </c>
      <c r="AF136" s="2">
        <v>240.89349999999999</v>
      </c>
      <c r="AG136" s="1">
        <v>40998</v>
      </c>
      <c r="AH136" s="2">
        <v>358.98849999999999</v>
      </c>
      <c r="AI136" s="1">
        <v>40998</v>
      </c>
      <c r="AJ136" s="2">
        <v>594.97940000000006</v>
      </c>
      <c r="AK136" s="1">
        <v>40633</v>
      </c>
      <c r="AL136" s="2">
        <v>3274.81</v>
      </c>
      <c r="AM136" s="1">
        <v>40633</v>
      </c>
      <c r="AN136" s="2">
        <v>964.6</v>
      </c>
      <c r="AO136" s="1">
        <v>40633</v>
      </c>
      <c r="AP136" s="2">
        <v>1694.15</v>
      </c>
      <c r="AQ136" s="1">
        <v>40633</v>
      </c>
      <c r="AR136" s="2">
        <v>963.46</v>
      </c>
      <c r="AS136" s="1">
        <v>40633</v>
      </c>
      <c r="AT136" s="2">
        <v>5338.71</v>
      </c>
      <c r="AU136" s="1">
        <v>40633</v>
      </c>
      <c r="AV136" s="2">
        <v>2482.46</v>
      </c>
      <c r="AW136" s="1">
        <v>42094</v>
      </c>
      <c r="AX136" s="2">
        <v>4142.1099999999997</v>
      </c>
      <c r="AY136" s="1">
        <v>42034</v>
      </c>
      <c r="AZ136" s="2">
        <v>119.44</v>
      </c>
      <c r="BA136" s="1">
        <v>45716</v>
      </c>
      <c r="BB136" s="2">
        <v>2525.25</v>
      </c>
      <c r="BC136" s="1">
        <v>40633</v>
      </c>
      <c r="BD136" s="2">
        <v>1.32</v>
      </c>
      <c r="BE136" s="1">
        <v>40633</v>
      </c>
      <c r="BF136" s="2">
        <v>119.39100000000001</v>
      </c>
      <c r="BG136" s="1">
        <v>40633</v>
      </c>
      <c r="BH136" s="2">
        <v>337.83600000000001</v>
      </c>
      <c r="BI136" s="1">
        <v>40633</v>
      </c>
      <c r="BJ136" s="2">
        <v>223.02500000000001</v>
      </c>
      <c r="BK136" s="1">
        <v>40633</v>
      </c>
      <c r="BL136" s="2">
        <v>879.28459999999995</v>
      </c>
      <c r="BM136" s="1">
        <v>42153</v>
      </c>
      <c r="BN136" s="2">
        <v>2303.942</v>
      </c>
      <c r="BO136" s="1">
        <v>42247</v>
      </c>
      <c r="BP136" s="2">
        <v>245.26</v>
      </c>
    </row>
    <row r="137" spans="1:68" x14ac:dyDescent="0.25">
      <c r="A137" s="1">
        <v>40662</v>
      </c>
      <c r="B137" s="2">
        <v>2522.3739999999998</v>
      </c>
      <c r="C137" s="1">
        <v>40662</v>
      </c>
      <c r="D137" s="2">
        <v>247.66849999999999</v>
      </c>
      <c r="E137" s="1">
        <v>40662</v>
      </c>
      <c r="F137" s="2">
        <v>224.90899999999999</v>
      </c>
      <c r="G137" s="1">
        <v>40662</v>
      </c>
      <c r="H137" s="2">
        <v>306.53089999999997</v>
      </c>
      <c r="I137" s="1">
        <v>40694</v>
      </c>
      <c r="J137" s="2">
        <v>140.06460000000001</v>
      </c>
      <c r="K137" s="1">
        <v>40662</v>
      </c>
      <c r="L137" s="2">
        <v>155.19399999999999</v>
      </c>
      <c r="M137" s="1">
        <v>40662</v>
      </c>
      <c r="N137" s="2">
        <v>128.30170000000001</v>
      </c>
      <c r="O137" s="1">
        <v>40694</v>
      </c>
      <c r="P137" s="2">
        <v>127.73269999999999</v>
      </c>
      <c r="Q137" s="1">
        <v>40662</v>
      </c>
      <c r="R137" s="2">
        <v>172.5069</v>
      </c>
      <c r="S137" s="1">
        <v>40662</v>
      </c>
      <c r="T137" s="2">
        <v>400.03320000000002</v>
      </c>
      <c r="U137" s="1">
        <v>40662</v>
      </c>
      <c r="V137" s="2">
        <v>289.3845</v>
      </c>
      <c r="W137" s="1">
        <v>40662</v>
      </c>
      <c r="X137" s="2">
        <v>1756.8</v>
      </c>
      <c r="Y137" s="1">
        <v>40662</v>
      </c>
      <c r="Z137" s="2">
        <v>268.28500000000003</v>
      </c>
      <c r="AA137" s="1">
        <v>41029</v>
      </c>
      <c r="AB137" s="2">
        <v>404.30549999999999</v>
      </c>
      <c r="AC137" s="1">
        <v>40662</v>
      </c>
      <c r="AD137" s="2">
        <v>398.3938</v>
      </c>
      <c r="AE137" s="1">
        <v>41029</v>
      </c>
      <c r="AF137" s="2">
        <v>238.00630000000001</v>
      </c>
      <c r="AG137" s="1">
        <v>41029</v>
      </c>
      <c r="AH137" s="2">
        <v>356.9873</v>
      </c>
      <c r="AI137" s="1">
        <v>41029</v>
      </c>
      <c r="AJ137" s="2">
        <v>585.10249999999996</v>
      </c>
      <c r="AK137" s="1">
        <v>40662</v>
      </c>
      <c r="AL137" s="2">
        <v>3413.93</v>
      </c>
      <c r="AM137" s="1">
        <v>40662</v>
      </c>
      <c r="AN137" s="2">
        <v>1014.28</v>
      </c>
      <c r="AO137" s="1">
        <v>40662</v>
      </c>
      <c r="AP137" s="2">
        <v>1767.63</v>
      </c>
      <c r="AQ137" s="1">
        <v>40662</v>
      </c>
      <c r="AR137" s="2">
        <v>1013.81</v>
      </c>
      <c r="AS137" s="1">
        <v>40662</v>
      </c>
      <c r="AT137" s="2">
        <v>5559.98</v>
      </c>
      <c r="AU137" s="1">
        <v>40662</v>
      </c>
      <c r="AV137" s="2">
        <v>2590.5</v>
      </c>
      <c r="AW137" s="1">
        <v>42124</v>
      </c>
      <c r="AX137" s="2">
        <v>4184.3900000000003</v>
      </c>
      <c r="AY137" s="1">
        <v>42062</v>
      </c>
      <c r="AZ137" s="2">
        <v>125.43</v>
      </c>
      <c r="BA137" s="1">
        <v>45747</v>
      </c>
      <c r="BB137" s="2">
        <v>2505.88</v>
      </c>
      <c r="BC137" s="1">
        <v>40662</v>
      </c>
      <c r="BD137" s="2">
        <v>1.28</v>
      </c>
      <c r="BE137" s="1">
        <v>40662</v>
      </c>
      <c r="BF137" s="2">
        <v>131.94800000000001</v>
      </c>
      <c r="BG137" s="1">
        <v>40662</v>
      </c>
      <c r="BH137" s="2">
        <v>324.75599999999997</v>
      </c>
      <c r="BI137" s="1">
        <v>40662</v>
      </c>
      <c r="BJ137" s="2">
        <v>242.90600000000001</v>
      </c>
      <c r="BK137" s="1">
        <v>40662</v>
      </c>
      <c r="BL137" s="2">
        <v>907.74929999999995</v>
      </c>
      <c r="BM137" s="1">
        <v>42185</v>
      </c>
      <c r="BN137" s="2">
        <v>2261.9490000000001</v>
      </c>
      <c r="BO137" s="1">
        <v>42277</v>
      </c>
      <c r="BP137" s="2">
        <v>246.87</v>
      </c>
    </row>
    <row r="138" spans="1:68" x14ac:dyDescent="0.25">
      <c r="A138" s="1">
        <v>40694</v>
      </c>
      <c r="B138" s="2">
        <v>2396.038</v>
      </c>
      <c r="C138" s="1">
        <v>40694</v>
      </c>
      <c r="D138" s="2">
        <v>244.678</v>
      </c>
      <c r="E138" s="1">
        <v>40694</v>
      </c>
      <c r="F138" s="2">
        <v>219.97499999999999</v>
      </c>
      <c r="G138" s="1">
        <v>40694</v>
      </c>
      <c r="H138" s="2">
        <v>301.26240000000001</v>
      </c>
      <c r="I138" s="1">
        <v>40724</v>
      </c>
      <c r="J138" s="2">
        <v>139.16200000000001</v>
      </c>
      <c r="K138" s="1">
        <v>40694</v>
      </c>
      <c r="L138" s="2">
        <v>153.38720000000001</v>
      </c>
      <c r="M138" s="1">
        <v>40694</v>
      </c>
      <c r="N138" s="2">
        <v>128.87549999999999</v>
      </c>
      <c r="O138" s="1">
        <v>40724</v>
      </c>
      <c r="P138" s="2">
        <v>126.3852</v>
      </c>
      <c r="Q138" s="1">
        <v>40694</v>
      </c>
      <c r="R138" s="2">
        <v>169.36680000000001</v>
      </c>
      <c r="S138" s="1">
        <v>40694</v>
      </c>
      <c r="T138" s="2">
        <v>403.91730000000001</v>
      </c>
      <c r="U138" s="1">
        <v>40694</v>
      </c>
      <c r="V138" s="2">
        <v>288.26859999999999</v>
      </c>
      <c r="W138" s="1">
        <v>40694</v>
      </c>
      <c r="X138" s="2">
        <v>1775.67</v>
      </c>
      <c r="Y138" s="1">
        <v>40694</v>
      </c>
      <c r="Z138" s="2">
        <v>259.11599999999999</v>
      </c>
      <c r="AA138" s="1">
        <v>41060</v>
      </c>
      <c r="AB138" s="2">
        <v>367.35939999999999</v>
      </c>
      <c r="AC138" s="1">
        <v>40694</v>
      </c>
      <c r="AD138" s="2">
        <v>379.4776</v>
      </c>
      <c r="AE138" s="1">
        <v>41060</v>
      </c>
      <c r="AF138" s="2">
        <v>223.4255</v>
      </c>
      <c r="AG138" s="1">
        <v>41060</v>
      </c>
      <c r="AH138" s="2">
        <v>306.2681</v>
      </c>
      <c r="AI138" s="1">
        <v>41060</v>
      </c>
      <c r="AJ138" s="2">
        <v>542.23170000000005</v>
      </c>
      <c r="AK138" s="1">
        <v>40694</v>
      </c>
      <c r="AL138" s="2">
        <v>3343.11</v>
      </c>
      <c r="AM138" s="1">
        <v>40694</v>
      </c>
      <c r="AN138" s="2">
        <v>1008.59</v>
      </c>
      <c r="AO138" s="1">
        <v>40694</v>
      </c>
      <c r="AP138" s="2">
        <v>1782.07</v>
      </c>
      <c r="AQ138" s="1">
        <v>40694</v>
      </c>
      <c r="AR138" s="2">
        <v>996.55</v>
      </c>
      <c r="AS138" s="1">
        <v>40694</v>
      </c>
      <c r="AT138" s="2">
        <v>5417.29</v>
      </c>
      <c r="AU138" s="1">
        <v>40694</v>
      </c>
      <c r="AV138" s="2">
        <v>2549.46</v>
      </c>
      <c r="AW138" s="1">
        <v>42153</v>
      </c>
      <c r="AX138" s="2">
        <v>4167.63</v>
      </c>
      <c r="AY138" s="1">
        <v>42094</v>
      </c>
      <c r="AZ138" s="2">
        <v>123.78</v>
      </c>
      <c r="BA138" s="1">
        <v>45777</v>
      </c>
      <c r="BB138" s="2">
        <v>2533.4699999999998</v>
      </c>
      <c r="BC138" s="1">
        <v>40694</v>
      </c>
      <c r="BD138" s="2">
        <v>1.35</v>
      </c>
      <c r="BE138" s="1">
        <v>40694</v>
      </c>
      <c r="BF138" s="2">
        <v>136.15899999999999</v>
      </c>
      <c r="BG138" s="1">
        <v>40694</v>
      </c>
      <c r="BH138" s="2">
        <v>301.34800000000001</v>
      </c>
      <c r="BI138" s="1">
        <v>40694</v>
      </c>
      <c r="BJ138" s="2">
        <v>252.46299999999999</v>
      </c>
      <c r="BK138" s="1">
        <v>40694</v>
      </c>
      <c r="BL138" s="2">
        <v>906.62490000000003</v>
      </c>
      <c r="BM138" s="1">
        <v>42216</v>
      </c>
      <c r="BN138" s="2">
        <v>2324.4319999999998</v>
      </c>
      <c r="BO138" s="1">
        <v>42307</v>
      </c>
      <c r="BP138" s="2">
        <v>266.12</v>
      </c>
    </row>
    <row r="139" spans="1:68" x14ac:dyDescent="0.25">
      <c r="A139" s="1">
        <v>40724</v>
      </c>
      <c r="B139" s="2">
        <v>2315.96</v>
      </c>
      <c r="C139" s="1">
        <v>40724</v>
      </c>
      <c r="D139" s="2">
        <v>245.30799999999999</v>
      </c>
      <c r="E139" s="1">
        <v>40724</v>
      </c>
      <c r="F139" s="2">
        <v>220.357</v>
      </c>
      <c r="G139" s="1">
        <v>40724</v>
      </c>
      <c r="H139" s="2">
        <v>303.29610000000002</v>
      </c>
      <c r="I139" s="1">
        <v>40753</v>
      </c>
      <c r="J139" s="2">
        <v>140.16229999999999</v>
      </c>
      <c r="K139" s="1">
        <v>40724</v>
      </c>
      <c r="L139" s="2">
        <v>151.2773</v>
      </c>
      <c r="M139" s="1">
        <v>40724</v>
      </c>
      <c r="N139" s="2">
        <v>128.5249</v>
      </c>
      <c r="O139" s="1">
        <v>40753</v>
      </c>
      <c r="P139" s="2">
        <v>126.413</v>
      </c>
      <c r="Q139" s="1">
        <v>40724</v>
      </c>
      <c r="R139" s="2">
        <v>169.59450000000001</v>
      </c>
      <c r="S139" s="1">
        <v>40724</v>
      </c>
      <c r="T139" s="2">
        <v>403.11520000000002</v>
      </c>
      <c r="U139" s="1">
        <v>40724</v>
      </c>
      <c r="V139" s="2">
        <v>288.23700000000002</v>
      </c>
      <c r="W139" s="1">
        <v>40724</v>
      </c>
      <c r="X139" s="2">
        <v>1777.33</v>
      </c>
      <c r="Y139" s="1">
        <v>40724</v>
      </c>
      <c r="Z139" s="2">
        <v>270.13099999999997</v>
      </c>
      <c r="AA139" s="1">
        <v>41089</v>
      </c>
      <c r="AB139" s="2">
        <v>378.51369999999997</v>
      </c>
      <c r="AC139" s="1">
        <v>40724</v>
      </c>
      <c r="AD139" s="2">
        <v>362.23289999999997</v>
      </c>
      <c r="AE139" s="1">
        <v>41089</v>
      </c>
      <c r="AF139" s="2">
        <v>243.27869999999999</v>
      </c>
      <c r="AG139" s="1">
        <v>41089</v>
      </c>
      <c r="AH139" s="2">
        <v>301.37819999999999</v>
      </c>
      <c r="AI139" s="1">
        <v>41089</v>
      </c>
      <c r="AJ139" s="2">
        <v>551.42529999999999</v>
      </c>
      <c r="AK139" s="1">
        <v>40724</v>
      </c>
      <c r="AL139" s="2">
        <v>3290.22</v>
      </c>
      <c r="AM139" s="1">
        <v>40724</v>
      </c>
      <c r="AN139" s="2">
        <v>995.39</v>
      </c>
      <c r="AO139" s="1">
        <v>40724</v>
      </c>
      <c r="AP139" s="2">
        <v>1763.96</v>
      </c>
      <c r="AQ139" s="1">
        <v>40724</v>
      </c>
      <c r="AR139" s="2">
        <v>987.96</v>
      </c>
      <c r="AS139" s="1">
        <v>40724</v>
      </c>
      <c r="AT139" s="2">
        <v>5332.23</v>
      </c>
      <c r="AU139" s="1">
        <v>40724</v>
      </c>
      <c r="AV139" s="2">
        <v>2508.84</v>
      </c>
      <c r="AW139" s="1">
        <v>42185</v>
      </c>
      <c r="AX139" s="2">
        <v>4104.0200000000004</v>
      </c>
      <c r="AY139" s="1">
        <v>42124</v>
      </c>
      <c r="AZ139" s="2">
        <v>127</v>
      </c>
      <c r="BA139" s="1">
        <v>45807</v>
      </c>
      <c r="BB139" s="2">
        <v>2559.19</v>
      </c>
      <c r="BC139" s="1">
        <v>40724</v>
      </c>
      <c r="BD139" s="2">
        <v>1.4</v>
      </c>
      <c r="BE139" s="1">
        <v>40724</v>
      </c>
      <c r="BF139" s="2">
        <v>139.93100000000001</v>
      </c>
      <c r="BG139" s="1">
        <v>40724</v>
      </c>
      <c r="BH139" s="2">
        <v>314.56400000000002</v>
      </c>
      <c r="BI139" s="1">
        <v>40724</v>
      </c>
      <c r="BJ139" s="2">
        <v>260.98500000000001</v>
      </c>
      <c r="BK139" s="1">
        <v>40724</v>
      </c>
      <c r="BL139" s="2">
        <v>908.51139999999998</v>
      </c>
      <c r="BM139" s="1">
        <v>42247</v>
      </c>
      <c r="BN139" s="2">
        <v>2167.739</v>
      </c>
      <c r="BO139" s="1">
        <v>42338</v>
      </c>
      <c r="BP139" s="2">
        <v>263.10000000000002</v>
      </c>
    </row>
    <row r="140" spans="1:68" x14ac:dyDescent="0.25">
      <c r="A140" s="1">
        <v>40753</v>
      </c>
      <c r="B140" s="2">
        <v>2426.16</v>
      </c>
      <c r="C140" s="1">
        <v>40753</v>
      </c>
      <c r="D140" s="2">
        <v>243.13939999999999</v>
      </c>
      <c r="E140" s="1">
        <v>40753</v>
      </c>
      <c r="F140" s="2">
        <v>219.03</v>
      </c>
      <c r="G140" s="1">
        <v>40753</v>
      </c>
      <c r="H140" s="2">
        <v>303.05160000000001</v>
      </c>
      <c r="I140" s="1">
        <v>40786</v>
      </c>
      <c r="J140" s="2">
        <v>139.84360000000001</v>
      </c>
      <c r="K140" s="1">
        <v>40753</v>
      </c>
      <c r="L140" s="2">
        <v>149.79660000000001</v>
      </c>
      <c r="M140" s="1">
        <v>40753</v>
      </c>
      <c r="N140" s="2">
        <v>131.9726</v>
      </c>
      <c r="O140" s="1">
        <v>40786</v>
      </c>
      <c r="P140" s="2">
        <v>125.4499</v>
      </c>
      <c r="Q140" s="1">
        <v>40753</v>
      </c>
      <c r="R140" s="2">
        <v>171.7593</v>
      </c>
      <c r="S140" s="1">
        <v>40753</v>
      </c>
      <c r="T140" s="2">
        <v>407.64589999999998</v>
      </c>
      <c r="U140" s="1">
        <v>40753</v>
      </c>
      <c r="V140" s="2">
        <v>295.97359999999998</v>
      </c>
      <c r="W140" s="1">
        <v>40753</v>
      </c>
      <c r="X140" s="2">
        <v>1793.85</v>
      </c>
      <c r="Y140" s="1">
        <v>40753</v>
      </c>
      <c r="Z140" s="2">
        <v>243.96700000000001</v>
      </c>
      <c r="AA140" s="1">
        <v>41121</v>
      </c>
      <c r="AB140" s="2">
        <v>396.4074</v>
      </c>
      <c r="AC140" s="1">
        <v>40753</v>
      </c>
      <c r="AD140" s="2">
        <v>373.05130000000003</v>
      </c>
      <c r="AE140" s="1">
        <v>41121</v>
      </c>
      <c r="AF140" s="2">
        <v>266.8913</v>
      </c>
      <c r="AG140" s="1">
        <v>41121</v>
      </c>
      <c r="AH140" s="2">
        <v>317.5573</v>
      </c>
      <c r="AI140" s="1">
        <v>41121</v>
      </c>
      <c r="AJ140" s="2">
        <v>554.55679999999995</v>
      </c>
      <c r="AK140" s="1">
        <v>40753</v>
      </c>
      <c r="AL140" s="2">
        <v>3230.56</v>
      </c>
      <c r="AM140" s="1">
        <v>40753</v>
      </c>
      <c r="AN140" s="2">
        <v>991.43</v>
      </c>
      <c r="AO140" s="1">
        <v>40753</v>
      </c>
      <c r="AP140" s="2">
        <v>1746.05</v>
      </c>
      <c r="AQ140" s="1">
        <v>40753</v>
      </c>
      <c r="AR140" s="2">
        <v>974.5</v>
      </c>
      <c r="AS140" s="1">
        <v>40753</v>
      </c>
      <c r="AT140" s="2">
        <v>5171.3500000000004</v>
      </c>
      <c r="AU140" s="1">
        <v>40753</v>
      </c>
      <c r="AV140" s="2">
        <v>2493.1799999999998</v>
      </c>
      <c r="AW140" s="1">
        <v>42216</v>
      </c>
      <c r="AX140" s="2">
        <v>4041.45</v>
      </c>
      <c r="AY140" s="1">
        <v>42153</v>
      </c>
      <c r="AZ140" s="2">
        <v>127.65</v>
      </c>
      <c r="BA140" s="1">
        <v>45838</v>
      </c>
      <c r="BB140" s="2">
        <v>2567.25</v>
      </c>
      <c r="BC140" s="1">
        <v>40753</v>
      </c>
      <c r="BD140" s="2">
        <v>1.41</v>
      </c>
      <c r="BE140" s="1">
        <v>40753</v>
      </c>
      <c r="BF140" s="2">
        <v>144.05600000000001</v>
      </c>
      <c r="BG140" s="1">
        <v>40753</v>
      </c>
      <c r="BH140" s="2">
        <v>270.29199999999997</v>
      </c>
      <c r="BI140" s="1">
        <v>40753</v>
      </c>
      <c r="BJ140" s="2">
        <v>276.33199999999999</v>
      </c>
      <c r="BK140" s="1">
        <v>40753</v>
      </c>
      <c r="BL140" s="2">
        <v>929.3895</v>
      </c>
      <c r="BM140" s="1">
        <v>42277</v>
      </c>
      <c r="BN140" s="2">
        <v>2089.8519999999999</v>
      </c>
      <c r="BO140" s="1">
        <v>42369</v>
      </c>
      <c r="BP140" s="2">
        <v>256.68</v>
      </c>
    </row>
    <row r="141" spans="1:68" x14ac:dyDescent="0.25">
      <c r="A141" s="1">
        <v>40786</v>
      </c>
      <c r="B141" s="2">
        <v>2397.636</v>
      </c>
      <c r="C141" s="1">
        <v>40786</v>
      </c>
      <c r="D141" s="2">
        <v>240.34909999999999</v>
      </c>
      <c r="E141" s="1">
        <v>40786</v>
      </c>
      <c r="F141" s="2">
        <v>217.339</v>
      </c>
      <c r="G141" s="1">
        <v>40786</v>
      </c>
      <c r="H141" s="2">
        <v>297.13159999999999</v>
      </c>
      <c r="I141" s="1">
        <v>40816</v>
      </c>
      <c r="J141" s="2">
        <v>141.37450000000001</v>
      </c>
      <c r="K141" s="1">
        <v>40786</v>
      </c>
      <c r="L141" s="2">
        <v>148.86109999999999</v>
      </c>
      <c r="M141" s="1">
        <v>40786</v>
      </c>
      <c r="N141" s="2">
        <v>135.92420000000001</v>
      </c>
      <c r="O141" s="1">
        <v>40816</v>
      </c>
      <c r="P141" s="2">
        <v>127.2503</v>
      </c>
      <c r="Q141" s="1">
        <v>40786</v>
      </c>
      <c r="R141" s="2">
        <v>168.37639999999999</v>
      </c>
      <c r="S141" s="1">
        <v>40786</v>
      </c>
      <c r="T141" s="2">
        <v>412.62099999999998</v>
      </c>
      <c r="U141" s="1">
        <v>40786</v>
      </c>
      <c r="V141" s="2">
        <v>295.02640000000002</v>
      </c>
      <c r="W141" s="1">
        <v>40786</v>
      </c>
      <c r="X141" s="2">
        <v>1816.19</v>
      </c>
      <c r="Y141" s="1">
        <v>40786</v>
      </c>
      <c r="Z141" s="2">
        <v>202.28399999999999</v>
      </c>
      <c r="AA141" s="1">
        <v>41152</v>
      </c>
      <c r="AB141" s="2">
        <v>414.42419999999998</v>
      </c>
      <c r="AC141" s="1">
        <v>40786</v>
      </c>
      <c r="AD141" s="2">
        <v>377.45909999999998</v>
      </c>
      <c r="AE141" s="1">
        <v>41152</v>
      </c>
      <c r="AF141" s="2">
        <v>273.42</v>
      </c>
      <c r="AG141" s="1">
        <v>41152</v>
      </c>
      <c r="AH141" s="2">
        <v>343.88310000000001</v>
      </c>
      <c r="AI141" s="1">
        <v>41152</v>
      </c>
      <c r="AJ141" s="2">
        <v>591.05039999999997</v>
      </c>
      <c r="AK141" s="1">
        <v>40786</v>
      </c>
      <c r="AL141" s="2">
        <v>3002.94</v>
      </c>
      <c r="AM141" s="1">
        <v>40786</v>
      </c>
      <c r="AN141" s="2">
        <v>949.09</v>
      </c>
      <c r="AO141" s="1">
        <v>40786</v>
      </c>
      <c r="AP141" s="2">
        <v>1729.58</v>
      </c>
      <c r="AQ141" s="1">
        <v>40786</v>
      </c>
      <c r="AR141" s="2">
        <v>920.28</v>
      </c>
      <c r="AS141" s="1">
        <v>40786</v>
      </c>
      <c r="AT141" s="2">
        <v>4793.04</v>
      </c>
      <c r="AU141" s="1">
        <v>40786</v>
      </c>
      <c r="AV141" s="2">
        <v>2324.0100000000002</v>
      </c>
      <c r="AW141" s="1">
        <v>42247</v>
      </c>
      <c r="AX141" s="2">
        <v>3909.02</v>
      </c>
      <c r="AY141" s="1">
        <v>42185</v>
      </c>
      <c r="AZ141" s="2">
        <v>123.3</v>
      </c>
      <c r="BA141" s="1">
        <v>45869</v>
      </c>
      <c r="BB141" s="2">
        <v>2587.54</v>
      </c>
      <c r="BC141" s="1">
        <v>40786</v>
      </c>
      <c r="BD141" s="2">
        <v>1.88</v>
      </c>
      <c r="BE141" s="1">
        <v>40786</v>
      </c>
      <c r="BF141" s="2">
        <v>126.122</v>
      </c>
      <c r="BG141" s="1">
        <v>40786</v>
      </c>
      <c r="BH141" s="2">
        <v>221.16</v>
      </c>
      <c r="BI141" s="1">
        <v>40786</v>
      </c>
      <c r="BJ141" s="2">
        <v>263.90199999999999</v>
      </c>
      <c r="BK141" s="1">
        <v>40786</v>
      </c>
      <c r="BL141" s="2">
        <v>948.59299999999996</v>
      </c>
      <c r="BM141" s="1">
        <v>42307</v>
      </c>
      <c r="BN141" s="2">
        <v>2260.5630000000001</v>
      </c>
      <c r="BO141" s="1">
        <v>42398</v>
      </c>
      <c r="BP141" s="2">
        <v>241.62</v>
      </c>
    </row>
    <row r="142" spans="1:68" x14ac:dyDescent="0.25">
      <c r="A142" s="1">
        <v>40816</v>
      </c>
      <c r="B142" s="2">
        <v>2371.6529999999998</v>
      </c>
      <c r="C142" s="1">
        <v>40816</v>
      </c>
      <c r="D142" s="2">
        <v>228.22120000000001</v>
      </c>
      <c r="E142" s="1">
        <v>40816</v>
      </c>
      <c r="F142" s="2">
        <v>205.68600000000001</v>
      </c>
      <c r="G142" s="1">
        <v>40816</v>
      </c>
      <c r="H142" s="2">
        <v>266.8655</v>
      </c>
      <c r="I142" s="1">
        <v>40847</v>
      </c>
      <c r="J142" s="2">
        <v>139.1857</v>
      </c>
      <c r="K142" s="1">
        <v>40816</v>
      </c>
      <c r="L142" s="2">
        <v>152.68979999999999</v>
      </c>
      <c r="M142" s="1">
        <v>40816</v>
      </c>
      <c r="N142" s="2">
        <v>138.30600000000001</v>
      </c>
      <c r="O142" s="1">
        <v>40847</v>
      </c>
      <c r="P142" s="2">
        <v>125.61660000000001</v>
      </c>
      <c r="Q142" s="1">
        <v>40816</v>
      </c>
      <c r="R142" s="2">
        <v>166.45099999999999</v>
      </c>
      <c r="S142" s="1">
        <v>40816</v>
      </c>
      <c r="T142" s="2">
        <v>415.0849</v>
      </c>
      <c r="U142" s="1">
        <v>40816</v>
      </c>
      <c r="V142" s="2">
        <v>287.76729999999998</v>
      </c>
      <c r="W142" s="1">
        <v>40816</v>
      </c>
      <c r="X142" s="2">
        <v>1819.29</v>
      </c>
      <c r="Y142" s="1">
        <v>40816</v>
      </c>
      <c r="Z142" s="2">
        <v>167.13</v>
      </c>
      <c r="AA142" s="1">
        <v>41180</v>
      </c>
      <c r="AB142" s="2">
        <v>419.67180000000002</v>
      </c>
      <c r="AC142" s="1">
        <v>40816</v>
      </c>
      <c r="AD142" s="2">
        <v>323.68810000000002</v>
      </c>
      <c r="AE142" s="1">
        <v>41180</v>
      </c>
      <c r="AF142" s="2">
        <v>262.77879999999999</v>
      </c>
      <c r="AG142" s="1">
        <v>41180</v>
      </c>
      <c r="AH142" s="2">
        <v>337.9556</v>
      </c>
      <c r="AI142" s="1">
        <v>41180</v>
      </c>
      <c r="AJ142" s="2">
        <v>629.27909999999997</v>
      </c>
      <c r="AK142" s="1">
        <v>40816</v>
      </c>
      <c r="AL142" s="2">
        <v>2743.58</v>
      </c>
      <c r="AM142" s="1">
        <v>40816</v>
      </c>
      <c r="AN142" s="2">
        <v>888.53</v>
      </c>
      <c r="AO142" s="1">
        <v>40816</v>
      </c>
      <c r="AP142" s="2">
        <v>1672.67</v>
      </c>
      <c r="AQ142" s="1">
        <v>40816</v>
      </c>
      <c r="AR142" s="2">
        <v>877.9</v>
      </c>
      <c r="AS142" s="1">
        <v>40816</v>
      </c>
      <c r="AT142" s="2">
        <v>4422.97</v>
      </c>
      <c r="AU142" s="1">
        <v>40816</v>
      </c>
      <c r="AV142" s="2">
        <v>2102.87</v>
      </c>
      <c r="AW142" s="1">
        <v>42277</v>
      </c>
      <c r="AX142" s="2">
        <v>3854.37</v>
      </c>
      <c r="AY142" s="1">
        <v>42216</v>
      </c>
      <c r="AZ142" s="2">
        <v>124.67</v>
      </c>
      <c r="BA142" s="1">
        <v>45898</v>
      </c>
      <c r="BB142" s="2">
        <v>2605.87</v>
      </c>
      <c r="BC142" s="1">
        <v>40816</v>
      </c>
      <c r="BD142" s="2">
        <v>2.1800000000000002</v>
      </c>
      <c r="BE142" s="1">
        <v>40816</v>
      </c>
      <c r="BF142" s="2">
        <v>96.367999999999995</v>
      </c>
      <c r="BG142" s="1">
        <v>40816</v>
      </c>
      <c r="BH142" s="2">
        <v>189.34200000000001</v>
      </c>
      <c r="BI142" s="1">
        <v>40816</v>
      </c>
      <c r="BJ142" s="2">
        <v>196.18100000000001</v>
      </c>
      <c r="BK142" s="1">
        <v>40816</v>
      </c>
      <c r="BL142" s="2">
        <v>930.12699999999995</v>
      </c>
      <c r="BM142" s="1">
        <v>42338</v>
      </c>
      <c r="BN142" s="2">
        <v>2257.1469999999999</v>
      </c>
      <c r="BO142" s="1">
        <v>42429</v>
      </c>
      <c r="BP142" s="2">
        <v>239.85</v>
      </c>
    </row>
    <row r="143" spans="1:68" x14ac:dyDescent="0.25">
      <c r="A143" s="1">
        <v>40847</v>
      </c>
      <c r="B143" s="2">
        <v>2261.1039999999998</v>
      </c>
      <c r="C143" s="1">
        <v>40847</v>
      </c>
      <c r="D143" s="2">
        <v>236.78110000000001</v>
      </c>
      <c r="E143" s="1">
        <v>40847</v>
      </c>
      <c r="F143" s="2">
        <v>217.94900000000001</v>
      </c>
      <c r="G143" s="1">
        <v>40847</v>
      </c>
      <c r="H143" s="2">
        <v>278.05500000000001</v>
      </c>
      <c r="I143" s="1">
        <v>40877</v>
      </c>
      <c r="J143" s="2">
        <v>139.75579999999999</v>
      </c>
      <c r="K143" s="1">
        <v>40847</v>
      </c>
      <c r="L143" s="2">
        <v>149.2225</v>
      </c>
      <c r="M143" s="1">
        <v>40847</v>
      </c>
      <c r="N143" s="2">
        <v>137.39580000000001</v>
      </c>
      <c r="O143" s="1">
        <v>40877</v>
      </c>
      <c r="P143" s="2">
        <v>126.4071</v>
      </c>
      <c r="Q143" s="1">
        <v>40847</v>
      </c>
      <c r="R143" s="2">
        <v>163.1123</v>
      </c>
      <c r="S143" s="1">
        <v>40847</v>
      </c>
      <c r="T143" s="2">
        <v>414.6773</v>
      </c>
      <c r="U143" s="1">
        <v>40847</v>
      </c>
      <c r="V143" s="2">
        <v>294.98160000000001</v>
      </c>
      <c r="W143" s="1">
        <v>40847</v>
      </c>
      <c r="X143" s="2">
        <v>1819.24</v>
      </c>
      <c r="Y143" s="1">
        <v>40847</v>
      </c>
      <c r="Z143" s="2">
        <v>187.4</v>
      </c>
      <c r="AA143" s="1">
        <v>41213</v>
      </c>
      <c r="AB143" s="2">
        <v>402.61450000000002</v>
      </c>
      <c r="AC143" s="1">
        <v>40847</v>
      </c>
      <c r="AD143" s="2">
        <v>344.86090000000002</v>
      </c>
      <c r="AE143" s="1">
        <v>41213</v>
      </c>
      <c r="AF143" s="2">
        <v>257.57600000000002</v>
      </c>
      <c r="AG143" s="1">
        <v>41213</v>
      </c>
      <c r="AH143" s="2">
        <v>326.1431</v>
      </c>
      <c r="AI143" s="1">
        <v>41213</v>
      </c>
      <c r="AJ143" s="2">
        <v>603.70190000000002</v>
      </c>
      <c r="AK143" s="1">
        <v>40847</v>
      </c>
      <c r="AL143" s="2">
        <v>3027.37</v>
      </c>
      <c r="AM143" s="1">
        <v>40847</v>
      </c>
      <c r="AN143" s="2">
        <v>969.49</v>
      </c>
      <c r="AO143" s="1">
        <v>40847</v>
      </c>
      <c r="AP143" s="2">
        <v>1745.98</v>
      </c>
      <c r="AQ143" s="1">
        <v>40847</v>
      </c>
      <c r="AR143" s="2">
        <v>935.93</v>
      </c>
      <c r="AS143" s="1">
        <v>40847</v>
      </c>
      <c r="AT143" s="2">
        <v>4845.8100000000004</v>
      </c>
      <c r="AU143" s="1">
        <v>40847</v>
      </c>
      <c r="AV143" s="2">
        <v>2336.4899999999998</v>
      </c>
      <c r="AW143" s="1">
        <v>42307</v>
      </c>
      <c r="AX143" s="2">
        <v>4007.07</v>
      </c>
      <c r="AY143" s="1">
        <v>42247</v>
      </c>
      <c r="AZ143" s="2">
        <v>117.24</v>
      </c>
      <c r="BA143" s="1">
        <v>45930</v>
      </c>
      <c r="BB143" s="2">
        <v>2692.71</v>
      </c>
      <c r="BC143" s="1">
        <v>40847</v>
      </c>
      <c r="BD143" s="2">
        <v>1.87</v>
      </c>
      <c r="BE143" s="1">
        <v>40847</v>
      </c>
      <c r="BF143" s="2">
        <v>115.271</v>
      </c>
      <c r="BG143" s="1">
        <v>40847</v>
      </c>
      <c r="BH143" s="2">
        <v>212.69</v>
      </c>
      <c r="BI143" s="1">
        <v>40847</v>
      </c>
      <c r="BJ143" s="2">
        <v>217.03100000000001</v>
      </c>
      <c r="BK143" s="1">
        <v>40847</v>
      </c>
      <c r="BL143" s="2">
        <v>935.19290000000001</v>
      </c>
      <c r="BM143" s="1">
        <v>42369</v>
      </c>
      <c r="BN143" s="2">
        <v>2221.0610000000001</v>
      </c>
      <c r="BO143" s="1">
        <v>42460</v>
      </c>
      <c r="BP143" s="2">
        <v>261.04000000000002</v>
      </c>
    </row>
    <row r="144" spans="1:68" x14ac:dyDescent="0.25">
      <c r="A144" s="1">
        <v>40877</v>
      </c>
      <c r="B144" s="2">
        <v>2258.2049999999999</v>
      </c>
      <c r="C144" s="1">
        <v>40877</v>
      </c>
      <c r="D144" s="2">
        <v>234.02869999999999</v>
      </c>
      <c r="E144" s="1">
        <v>40877</v>
      </c>
      <c r="F144" s="2">
        <v>211.858</v>
      </c>
      <c r="G144" s="1">
        <v>40877</v>
      </c>
      <c r="H144" s="2">
        <v>267.4511</v>
      </c>
      <c r="I144" s="1">
        <v>40907</v>
      </c>
      <c r="J144" s="2">
        <v>140.2465</v>
      </c>
      <c r="K144" s="1">
        <v>40877</v>
      </c>
      <c r="L144" s="2">
        <v>148.6559</v>
      </c>
      <c r="M144" s="1">
        <v>40877</v>
      </c>
      <c r="N144" s="2">
        <v>138.4289</v>
      </c>
      <c r="O144" s="1">
        <v>40907</v>
      </c>
      <c r="P144" s="2">
        <v>126.2189</v>
      </c>
      <c r="Q144" s="1">
        <v>40877</v>
      </c>
      <c r="R144" s="2">
        <v>163.97540000000001</v>
      </c>
      <c r="S144" s="1">
        <v>40877</v>
      </c>
      <c r="T144" s="2">
        <v>412.42689999999999</v>
      </c>
      <c r="U144" s="1">
        <v>40877</v>
      </c>
      <c r="V144" s="2">
        <v>291.91129999999998</v>
      </c>
      <c r="W144" s="1">
        <v>40877</v>
      </c>
      <c r="X144" s="2">
        <v>1822.55</v>
      </c>
      <c r="Y144" s="1">
        <v>40877</v>
      </c>
      <c r="Z144" s="2">
        <v>181.298</v>
      </c>
      <c r="AA144" s="1">
        <v>41243</v>
      </c>
      <c r="AB144" s="2">
        <v>406.2826</v>
      </c>
      <c r="AC144" s="1">
        <v>40877</v>
      </c>
      <c r="AD144" s="2">
        <v>337.75150000000002</v>
      </c>
      <c r="AE144" s="1">
        <v>41243</v>
      </c>
      <c r="AF144" s="2">
        <v>251.68549999999999</v>
      </c>
      <c r="AG144" s="1">
        <v>41243</v>
      </c>
      <c r="AH144" s="2">
        <v>332.13729999999998</v>
      </c>
      <c r="AI144" s="1">
        <v>41243</v>
      </c>
      <c r="AJ144" s="2">
        <v>606.26369999999997</v>
      </c>
      <c r="AK144" s="1">
        <v>40877</v>
      </c>
      <c r="AL144" s="2">
        <v>2953.45</v>
      </c>
      <c r="AM144" s="1">
        <v>40877</v>
      </c>
      <c r="AN144" s="2">
        <v>961.45</v>
      </c>
      <c r="AO144" s="1">
        <v>40877</v>
      </c>
      <c r="AP144" s="2">
        <v>1729.91</v>
      </c>
      <c r="AQ144" s="1">
        <v>40877</v>
      </c>
      <c r="AR144" s="2">
        <v>935.54</v>
      </c>
      <c r="AS144" s="1">
        <v>40877</v>
      </c>
      <c r="AT144" s="2">
        <v>4709.84</v>
      </c>
      <c r="AU144" s="1">
        <v>40877</v>
      </c>
      <c r="AV144" s="2">
        <v>2287.65</v>
      </c>
      <c r="AW144" s="1">
        <v>42338</v>
      </c>
      <c r="AX144" s="2">
        <v>3933.33</v>
      </c>
      <c r="AY144" s="1">
        <v>42277</v>
      </c>
      <c r="AZ144" s="2">
        <v>109.56</v>
      </c>
      <c r="BA144" s="1">
        <v>45961</v>
      </c>
      <c r="BB144" s="2">
        <v>2757.74</v>
      </c>
      <c r="BC144" s="1">
        <v>40877</v>
      </c>
      <c r="BD144" s="2">
        <v>2.25</v>
      </c>
      <c r="BE144" s="1">
        <v>40877</v>
      </c>
      <c r="BF144" s="2">
        <v>111.605</v>
      </c>
      <c r="BG144" s="1">
        <v>40877</v>
      </c>
      <c r="BH144" s="2">
        <v>206.63200000000001</v>
      </c>
      <c r="BI144" s="1">
        <v>40877</v>
      </c>
      <c r="BJ144" s="2">
        <v>210.333</v>
      </c>
      <c r="BK144" s="1">
        <v>40877</v>
      </c>
      <c r="BL144" s="2">
        <v>921.09469999999999</v>
      </c>
      <c r="BM144" s="1">
        <v>42398</v>
      </c>
      <c r="BN144" s="2">
        <v>2082.6729999999998</v>
      </c>
      <c r="BO144" s="1">
        <v>42489</v>
      </c>
      <c r="BP144" s="2">
        <v>267.51</v>
      </c>
    </row>
    <row r="145" spans="1:68" x14ac:dyDescent="0.25">
      <c r="A145" s="1">
        <v>40907</v>
      </c>
      <c r="B145" s="2">
        <v>2295.5889999999999</v>
      </c>
      <c r="C145" s="1">
        <v>40907</v>
      </c>
      <c r="D145" s="2">
        <v>233.7441</v>
      </c>
      <c r="E145" s="1">
        <v>40907</v>
      </c>
      <c r="F145" s="2">
        <v>211.756</v>
      </c>
      <c r="G145" s="1">
        <v>40907</v>
      </c>
      <c r="H145" s="2">
        <v>262.16759999999999</v>
      </c>
      <c r="I145" s="1">
        <v>40939</v>
      </c>
      <c r="J145" s="2">
        <v>139.4461</v>
      </c>
      <c r="K145" s="1">
        <v>40907</v>
      </c>
      <c r="L145" s="2">
        <v>148.23310000000001</v>
      </c>
      <c r="M145" s="1">
        <v>40907</v>
      </c>
      <c r="N145" s="2">
        <v>140.56360000000001</v>
      </c>
      <c r="O145" s="1">
        <v>40939</v>
      </c>
      <c r="P145" s="2">
        <v>125.8768</v>
      </c>
      <c r="Q145" s="1">
        <v>40907</v>
      </c>
      <c r="R145" s="2">
        <v>164.76220000000001</v>
      </c>
      <c r="S145" s="1">
        <v>40907</v>
      </c>
      <c r="T145" s="2">
        <v>418.69979999999998</v>
      </c>
      <c r="U145" s="1">
        <v>40907</v>
      </c>
      <c r="V145" s="2">
        <v>294.91699999999997</v>
      </c>
      <c r="W145" s="1">
        <v>40907</v>
      </c>
      <c r="X145" s="2">
        <v>1835.33</v>
      </c>
      <c r="Y145" s="1">
        <v>40907</v>
      </c>
      <c r="Z145" s="2">
        <v>163.6</v>
      </c>
      <c r="AA145" s="1">
        <v>41274</v>
      </c>
      <c r="AB145" s="2">
        <v>399.4151</v>
      </c>
      <c r="AC145" s="1">
        <v>40907</v>
      </c>
      <c r="AD145" s="2">
        <v>327.2713</v>
      </c>
      <c r="AE145" s="1">
        <v>41274</v>
      </c>
      <c r="AF145" s="2">
        <v>246.13839999999999</v>
      </c>
      <c r="AG145" s="1">
        <v>41274</v>
      </c>
      <c r="AH145" s="2">
        <v>331.09519999999998</v>
      </c>
      <c r="AI145" s="1">
        <v>41274</v>
      </c>
      <c r="AJ145" s="2">
        <v>581.13909999999998</v>
      </c>
      <c r="AK145" s="1">
        <v>40907</v>
      </c>
      <c r="AL145" s="2">
        <v>2951.81</v>
      </c>
      <c r="AM145" s="1">
        <v>40907</v>
      </c>
      <c r="AN145" s="2">
        <v>965.78</v>
      </c>
      <c r="AO145" s="1">
        <v>40907</v>
      </c>
      <c r="AP145" s="2">
        <v>1766.72</v>
      </c>
      <c r="AQ145" s="1">
        <v>40907</v>
      </c>
      <c r="AR145" s="2">
        <v>949.62</v>
      </c>
      <c r="AS145" s="1">
        <v>40907</v>
      </c>
      <c r="AT145" s="2">
        <v>4757.84</v>
      </c>
      <c r="AU145" s="1">
        <v>40907</v>
      </c>
      <c r="AV145" s="2">
        <v>2262.1</v>
      </c>
      <c r="AW145" s="1">
        <v>42369</v>
      </c>
      <c r="AX145" s="2">
        <v>3789.75</v>
      </c>
      <c r="AY145" s="1">
        <v>42307</v>
      </c>
      <c r="AZ145" s="2">
        <v>116.13</v>
      </c>
      <c r="BA145" s="1">
        <v>45989</v>
      </c>
      <c r="BB145" s="2">
        <v>2775.14</v>
      </c>
      <c r="BC145" s="1">
        <v>40907</v>
      </c>
      <c r="BD145" s="2">
        <v>2.17</v>
      </c>
      <c r="BE145" s="1">
        <v>40907</v>
      </c>
      <c r="BF145" s="2">
        <v>104.449</v>
      </c>
      <c r="BG145" s="1">
        <v>40907</v>
      </c>
      <c r="BH145" s="2">
        <v>186.435</v>
      </c>
      <c r="BI145" s="1">
        <v>40907</v>
      </c>
      <c r="BJ145" s="2">
        <v>206.22900000000001</v>
      </c>
      <c r="BK145" s="1">
        <v>40907</v>
      </c>
      <c r="BL145" s="2">
        <v>929.0249</v>
      </c>
      <c r="BM145" s="1">
        <v>42429</v>
      </c>
      <c r="BN145" s="2">
        <v>2066.1959999999999</v>
      </c>
      <c r="BO145" s="1">
        <v>42521</v>
      </c>
      <c r="BP145" s="2">
        <v>277.56</v>
      </c>
    </row>
    <row r="146" spans="1:68" x14ac:dyDescent="0.25">
      <c r="A146" s="1">
        <v>40939</v>
      </c>
      <c r="B146" s="2">
        <v>2319.9760000000001</v>
      </c>
      <c r="C146" s="1">
        <v>40939</v>
      </c>
      <c r="D146" s="2">
        <v>241.46299999999999</v>
      </c>
      <c r="E146" s="1">
        <v>40939</v>
      </c>
      <c r="F146" s="2">
        <v>218.24799999999999</v>
      </c>
      <c r="G146" s="1">
        <v>40939</v>
      </c>
      <c r="H146" s="2">
        <v>278.80470000000003</v>
      </c>
      <c r="I146" s="1">
        <v>40968</v>
      </c>
      <c r="J146" s="2">
        <v>139.05359999999999</v>
      </c>
      <c r="K146" s="1">
        <v>40939</v>
      </c>
      <c r="L146" s="2">
        <v>147.57040000000001</v>
      </c>
      <c r="M146" s="1">
        <v>40939</v>
      </c>
      <c r="N146" s="2">
        <v>141.05420000000001</v>
      </c>
      <c r="O146" s="1">
        <v>40968</v>
      </c>
      <c r="P146" s="2">
        <v>126.00369999999999</v>
      </c>
      <c r="Q146" s="1">
        <v>40939</v>
      </c>
      <c r="R146" s="2">
        <v>161.7593</v>
      </c>
      <c r="S146" s="1">
        <v>40939</v>
      </c>
      <c r="T146" s="2">
        <v>422.83710000000002</v>
      </c>
      <c r="U146" s="1">
        <v>40939</v>
      </c>
      <c r="V146" s="2">
        <v>302.34410000000003</v>
      </c>
      <c r="W146" s="1">
        <v>40939</v>
      </c>
      <c r="X146" s="2">
        <v>1842.81</v>
      </c>
      <c r="Y146" s="1">
        <v>40939</v>
      </c>
      <c r="Z146" s="2">
        <v>158.12700000000001</v>
      </c>
      <c r="AA146" s="1">
        <v>41305</v>
      </c>
      <c r="AB146" s="2">
        <v>410.0847</v>
      </c>
      <c r="AC146" s="1">
        <v>40939</v>
      </c>
      <c r="AD146" s="2">
        <v>336.39449999999999</v>
      </c>
      <c r="AE146" s="1">
        <v>41305</v>
      </c>
      <c r="AF146" s="2">
        <v>251.01169999999999</v>
      </c>
      <c r="AG146" s="1">
        <v>41305</v>
      </c>
      <c r="AH146" s="2">
        <v>347.9332</v>
      </c>
      <c r="AI146" s="1">
        <v>41305</v>
      </c>
      <c r="AJ146" s="2">
        <v>583.05190000000005</v>
      </c>
      <c r="AK146" s="1">
        <v>40939</v>
      </c>
      <c r="AL146" s="2">
        <v>3099.94</v>
      </c>
      <c r="AM146" s="1">
        <v>40939</v>
      </c>
      <c r="AN146" s="2">
        <v>1010.47</v>
      </c>
      <c r="AO146" s="1">
        <v>40939</v>
      </c>
      <c r="AP146" s="2">
        <v>1783.43</v>
      </c>
      <c r="AQ146" s="1">
        <v>40939</v>
      </c>
      <c r="AR146" s="2">
        <v>963.05</v>
      </c>
      <c r="AS146" s="1">
        <v>40939</v>
      </c>
      <c r="AT146" s="2">
        <v>4955.3999999999996</v>
      </c>
      <c r="AU146" s="1">
        <v>40939</v>
      </c>
      <c r="AV146" s="2">
        <v>2395.39</v>
      </c>
      <c r="AW146" s="1">
        <v>42398</v>
      </c>
      <c r="AX146" s="2">
        <v>3785.97</v>
      </c>
      <c r="AY146" s="1">
        <v>42338</v>
      </c>
      <c r="AZ146" s="2">
        <v>117.19</v>
      </c>
      <c r="BA146" s="1">
        <v>46022</v>
      </c>
      <c r="BB146" s="2">
        <v>2817.37</v>
      </c>
      <c r="BC146" s="1">
        <v>40939</v>
      </c>
      <c r="BD146" s="2">
        <v>1.91</v>
      </c>
      <c r="BE146" s="1">
        <v>40939</v>
      </c>
      <c r="BF146" s="2">
        <v>109.268</v>
      </c>
      <c r="BG146" s="1">
        <v>40939</v>
      </c>
      <c r="BH146" s="2">
        <v>174.45500000000001</v>
      </c>
      <c r="BI146" s="1">
        <v>40939</v>
      </c>
      <c r="BJ146" s="2">
        <v>223.33600000000001</v>
      </c>
      <c r="BK146" s="1">
        <v>40939</v>
      </c>
      <c r="BL146" s="2">
        <v>942.697</v>
      </c>
      <c r="BM146" s="1">
        <v>42460</v>
      </c>
      <c r="BN146" s="2">
        <v>2205.1729999999998</v>
      </c>
      <c r="BO146" s="1">
        <v>42551</v>
      </c>
      <c r="BP146" s="2">
        <v>272.26</v>
      </c>
    </row>
    <row r="147" spans="1:68" x14ac:dyDescent="0.25">
      <c r="A147" s="1">
        <v>40968</v>
      </c>
      <c r="B147" s="2">
        <v>2355.634</v>
      </c>
      <c r="C147" s="1">
        <v>40968</v>
      </c>
      <c r="D147" s="2">
        <v>247.98089999999999</v>
      </c>
      <c r="E147" s="1">
        <v>40968</v>
      </c>
      <c r="F147" s="2">
        <v>227.99700000000001</v>
      </c>
      <c r="G147" s="1">
        <v>40968</v>
      </c>
      <c r="H147" s="2">
        <v>287.14980000000003</v>
      </c>
      <c r="I147" s="1">
        <v>40998</v>
      </c>
      <c r="J147" s="2">
        <v>138.52359999999999</v>
      </c>
      <c r="K147" s="1">
        <v>40968</v>
      </c>
      <c r="L147" s="2">
        <v>147.81010000000001</v>
      </c>
      <c r="M147" s="1">
        <v>40968</v>
      </c>
      <c r="N147" s="2">
        <v>139.98609999999999</v>
      </c>
      <c r="O147" s="1">
        <v>40998</v>
      </c>
      <c r="P147" s="2">
        <v>126.0622</v>
      </c>
      <c r="Q147" s="1">
        <v>40968</v>
      </c>
      <c r="R147" s="2">
        <v>160.5873</v>
      </c>
      <c r="S147" s="1">
        <v>40968</v>
      </c>
      <c r="T147" s="2">
        <v>424.3657</v>
      </c>
      <c r="U147" s="1">
        <v>40968</v>
      </c>
      <c r="V147" s="2">
        <v>305.27319999999997</v>
      </c>
      <c r="W147" s="1">
        <v>40968</v>
      </c>
      <c r="X147" s="2">
        <v>1844.51</v>
      </c>
      <c r="Y147" s="1">
        <v>40968</v>
      </c>
      <c r="Z147" s="2">
        <v>167.70400000000001</v>
      </c>
      <c r="AA147" s="1">
        <v>41333</v>
      </c>
      <c r="AB147" s="2">
        <v>390.99200000000002</v>
      </c>
      <c r="AC147" s="1">
        <v>40968</v>
      </c>
      <c r="AD147" s="2">
        <v>345.33659999999998</v>
      </c>
      <c r="AE147" s="1">
        <v>41333</v>
      </c>
      <c r="AF147" s="2">
        <v>240.4376</v>
      </c>
      <c r="AG147" s="1">
        <v>41333</v>
      </c>
      <c r="AH147" s="2">
        <v>336.14580000000001</v>
      </c>
      <c r="AI147" s="1">
        <v>41333</v>
      </c>
      <c r="AJ147" s="2">
        <v>546.36429999999996</v>
      </c>
      <c r="AK147" s="1">
        <v>40968</v>
      </c>
      <c r="AL147" s="2">
        <v>3251.37</v>
      </c>
      <c r="AM147" s="1">
        <v>40968</v>
      </c>
      <c r="AN147" s="2">
        <v>1056.49</v>
      </c>
      <c r="AO147" s="1">
        <v>40968</v>
      </c>
      <c r="AP147" s="2">
        <v>1823.63</v>
      </c>
      <c r="AQ147" s="1">
        <v>40968</v>
      </c>
      <c r="AR147" s="2">
        <v>1006.44</v>
      </c>
      <c r="AS147" s="1">
        <v>40968</v>
      </c>
      <c r="AT147" s="2">
        <v>5182.43</v>
      </c>
      <c r="AU147" s="1">
        <v>40968</v>
      </c>
      <c r="AV147" s="2">
        <v>2519.61</v>
      </c>
      <c r="AW147" s="1">
        <v>42429</v>
      </c>
      <c r="AX147" s="2">
        <v>3803.39</v>
      </c>
      <c r="AY147" s="1">
        <v>42369</v>
      </c>
      <c r="AZ147" s="2">
        <v>111.28</v>
      </c>
      <c r="BA147" s="1">
        <v>46052</v>
      </c>
      <c r="BB147" s="2">
        <v>2817.77</v>
      </c>
      <c r="BC147" s="1">
        <v>40968</v>
      </c>
      <c r="BD147" s="2">
        <v>1.67</v>
      </c>
      <c r="BE147" s="1">
        <v>40968</v>
      </c>
      <c r="BF147" s="2">
        <v>111.239</v>
      </c>
      <c r="BG147" s="1">
        <v>40968</v>
      </c>
      <c r="BH147" s="2">
        <v>189.33799999999999</v>
      </c>
      <c r="BI147" s="1">
        <v>40968</v>
      </c>
      <c r="BJ147" s="2">
        <v>222.542</v>
      </c>
      <c r="BK147" s="1">
        <v>40968</v>
      </c>
      <c r="BL147" s="2">
        <v>933.77700000000004</v>
      </c>
      <c r="BM147" s="1">
        <v>42489</v>
      </c>
      <c r="BN147" s="2">
        <v>2220.5219999999999</v>
      </c>
      <c r="BO147" s="1">
        <v>42580</v>
      </c>
      <c r="BP147" s="2">
        <v>291.04000000000002</v>
      </c>
    </row>
    <row r="148" spans="1:68" x14ac:dyDescent="0.25">
      <c r="A148" s="1">
        <v>40998</v>
      </c>
      <c r="B148" s="2">
        <v>2302.6779999999999</v>
      </c>
      <c r="C148" s="1">
        <v>40998</v>
      </c>
      <c r="D148" s="2">
        <v>242.14490000000001</v>
      </c>
      <c r="E148" s="1">
        <v>40998</v>
      </c>
      <c r="F148" s="2">
        <v>225.02699999999999</v>
      </c>
      <c r="G148" s="1">
        <v>40998</v>
      </c>
      <c r="H148" s="2">
        <v>281.91800000000001</v>
      </c>
      <c r="I148" s="1">
        <v>41029</v>
      </c>
      <c r="J148" s="2">
        <v>138.9742</v>
      </c>
      <c r="K148" s="1">
        <v>40998</v>
      </c>
      <c r="L148" s="2">
        <v>147.85810000000001</v>
      </c>
      <c r="M148" s="1">
        <v>40998</v>
      </c>
      <c r="N148" s="2">
        <v>137.7131</v>
      </c>
      <c r="O148" s="1">
        <v>41029</v>
      </c>
      <c r="P148" s="2">
        <v>126.1626</v>
      </c>
      <c r="Q148" s="1">
        <v>40998</v>
      </c>
      <c r="R148" s="2">
        <v>160.26070000000001</v>
      </c>
      <c r="S148" s="1">
        <v>40998</v>
      </c>
      <c r="T148" s="2">
        <v>423.7516</v>
      </c>
      <c r="U148" s="1">
        <v>40998</v>
      </c>
      <c r="V148" s="2">
        <v>302.64949999999999</v>
      </c>
      <c r="W148" s="1">
        <v>40998</v>
      </c>
      <c r="X148" s="2">
        <v>1845.71</v>
      </c>
      <c r="Y148" s="1">
        <v>40998</v>
      </c>
      <c r="Z148" s="2">
        <v>187.99600000000001</v>
      </c>
      <c r="AA148" s="1">
        <v>41362</v>
      </c>
      <c r="AB148" s="2">
        <v>388.98989999999998</v>
      </c>
      <c r="AC148" s="1">
        <v>40998</v>
      </c>
      <c r="AD148" s="2">
        <v>332.28320000000002</v>
      </c>
      <c r="AE148" s="1">
        <v>41362</v>
      </c>
      <c r="AF148" s="2">
        <v>236.08070000000001</v>
      </c>
      <c r="AG148" s="1">
        <v>41362</v>
      </c>
      <c r="AH148" s="2">
        <v>345.05529999999999</v>
      </c>
      <c r="AI148" s="1">
        <v>41362</v>
      </c>
      <c r="AJ148" s="2">
        <v>549.90610000000004</v>
      </c>
      <c r="AK148" s="1">
        <v>40998</v>
      </c>
      <c r="AL148" s="2">
        <v>3293.17</v>
      </c>
      <c r="AM148" s="1">
        <v>40998</v>
      </c>
      <c r="AN148" s="2">
        <v>1077.8</v>
      </c>
      <c r="AO148" s="1">
        <v>40998</v>
      </c>
      <c r="AP148" s="2">
        <v>1850.35</v>
      </c>
      <c r="AQ148" s="1">
        <v>40998</v>
      </c>
      <c r="AR148" s="2">
        <v>1038.6199999999999</v>
      </c>
      <c r="AS148" s="1">
        <v>40998</v>
      </c>
      <c r="AT148" s="2">
        <v>5232.0200000000004</v>
      </c>
      <c r="AU148" s="1">
        <v>40998</v>
      </c>
      <c r="AV148" s="2">
        <v>2560.15</v>
      </c>
      <c r="AW148" s="1">
        <v>42460</v>
      </c>
      <c r="AX148" s="2">
        <v>3926.86</v>
      </c>
      <c r="AY148" s="2">
        <v>42398</v>
      </c>
      <c r="AZ148" s="2">
        <v>102.48</v>
      </c>
      <c r="BC148" s="1">
        <v>40998</v>
      </c>
      <c r="BD148" s="2">
        <v>1.61</v>
      </c>
      <c r="BE148" s="1">
        <v>40998</v>
      </c>
      <c r="BF148" s="2">
        <v>117.116</v>
      </c>
      <c r="BG148" s="1">
        <v>40998</v>
      </c>
      <c r="BH148" s="2">
        <v>214.19499999999999</v>
      </c>
      <c r="BI148" s="1">
        <v>40998</v>
      </c>
      <c r="BJ148" s="2">
        <v>229.762</v>
      </c>
      <c r="BK148" s="1">
        <v>40998</v>
      </c>
      <c r="BL148" s="2">
        <v>924.31190000000004</v>
      </c>
      <c r="BM148" s="1">
        <v>42521</v>
      </c>
      <c r="BN148" s="2">
        <v>2241.7269999999999</v>
      </c>
      <c r="BO148" s="1">
        <v>42613</v>
      </c>
      <c r="BP148" s="2">
        <v>295.66000000000003</v>
      </c>
    </row>
    <row r="149" spans="1:68" x14ac:dyDescent="0.25">
      <c r="A149" s="1">
        <v>41029</v>
      </c>
      <c r="B149" s="2">
        <v>2319.3290000000002</v>
      </c>
      <c r="C149" s="1">
        <v>41029</v>
      </c>
      <c r="D149" s="2">
        <v>239.7842</v>
      </c>
      <c r="E149" s="1">
        <v>41029</v>
      </c>
      <c r="F149" s="2">
        <v>222.054</v>
      </c>
      <c r="G149" s="1">
        <v>41029</v>
      </c>
      <c r="H149" s="2">
        <v>280.26859999999999</v>
      </c>
      <c r="I149" s="1">
        <v>41060</v>
      </c>
      <c r="J149" s="2">
        <v>140.8991</v>
      </c>
      <c r="K149" s="1">
        <v>41029</v>
      </c>
      <c r="L149" s="2">
        <v>147.74340000000001</v>
      </c>
      <c r="M149" s="1">
        <v>41029</v>
      </c>
      <c r="N149" s="2">
        <v>139.63820000000001</v>
      </c>
      <c r="O149" s="1">
        <v>41060</v>
      </c>
      <c r="P149" s="2">
        <v>126.6225</v>
      </c>
      <c r="Q149" s="1">
        <v>41029</v>
      </c>
      <c r="R149" s="2">
        <v>160.38679999999999</v>
      </c>
      <c r="S149" s="1">
        <v>41029</v>
      </c>
      <c r="T149" s="2">
        <v>426.39249999999998</v>
      </c>
      <c r="U149" s="1">
        <v>41029</v>
      </c>
      <c r="V149" s="2">
        <v>305.33780000000002</v>
      </c>
      <c r="W149" s="1">
        <v>41029</v>
      </c>
      <c r="X149" s="2">
        <v>1857.68</v>
      </c>
      <c r="Y149" s="1">
        <v>41029</v>
      </c>
      <c r="Z149" s="2">
        <v>165.57900000000001</v>
      </c>
      <c r="AA149" s="1">
        <v>41394</v>
      </c>
      <c r="AB149" s="2">
        <v>371.99459999999999</v>
      </c>
      <c r="AC149" s="1">
        <v>41029</v>
      </c>
      <c r="AD149" s="2">
        <v>329.14510000000001</v>
      </c>
      <c r="AE149" s="1">
        <v>41394</v>
      </c>
      <c r="AF149" s="2">
        <v>234.95609999999999</v>
      </c>
      <c r="AG149" s="1">
        <v>41394</v>
      </c>
      <c r="AH149" s="2">
        <v>327.63850000000002</v>
      </c>
      <c r="AI149" s="1">
        <v>41394</v>
      </c>
      <c r="AJ149" s="2">
        <v>496.8725</v>
      </c>
      <c r="AK149" s="1">
        <v>41029</v>
      </c>
      <c r="AL149" s="2">
        <v>3255.77</v>
      </c>
      <c r="AM149" s="1">
        <v>41029</v>
      </c>
      <c r="AN149" s="2">
        <v>1076.1600000000001</v>
      </c>
      <c r="AO149" s="1">
        <v>41029</v>
      </c>
      <c r="AP149" s="2">
        <v>1865.77</v>
      </c>
      <c r="AQ149" s="1">
        <v>41029</v>
      </c>
      <c r="AR149" s="2">
        <v>1047.93</v>
      </c>
      <c r="AS149" s="1">
        <v>41029</v>
      </c>
      <c r="AT149" s="2">
        <v>5140.1000000000004</v>
      </c>
      <c r="AU149" s="1">
        <v>41029</v>
      </c>
      <c r="AV149" s="2">
        <v>2546.63</v>
      </c>
      <c r="AW149" s="1">
        <v>42489</v>
      </c>
      <c r="AX149" s="2">
        <v>4019.16</v>
      </c>
      <c r="AY149" s="2">
        <v>42429</v>
      </c>
      <c r="AZ149" s="2">
        <v>102.37</v>
      </c>
      <c r="BC149" s="1">
        <v>41029</v>
      </c>
      <c r="BD149" s="2">
        <v>1.7</v>
      </c>
      <c r="BE149" s="1">
        <v>41029</v>
      </c>
      <c r="BF149" s="2">
        <v>110.595</v>
      </c>
      <c r="BG149" s="1">
        <v>41029</v>
      </c>
      <c r="BH149" s="2">
        <v>182.05600000000001</v>
      </c>
      <c r="BI149" s="1">
        <v>41029</v>
      </c>
      <c r="BJ149" s="2">
        <v>230.32400000000001</v>
      </c>
      <c r="BK149" s="1">
        <v>41029</v>
      </c>
      <c r="BL149" s="2">
        <v>938.00990000000002</v>
      </c>
      <c r="BM149" s="1">
        <v>42551</v>
      </c>
      <c r="BN149" s="2">
        <v>2215.6170000000002</v>
      </c>
      <c r="BO149" s="1">
        <v>42643</v>
      </c>
      <c r="BP149" s="2">
        <v>297.72000000000003</v>
      </c>
    </row>
    <row r="150" spans="1:68" x14ac:dyDescent="0.25">
      <c r="A150" s="1">
        <v>41060</v>
      </c>
      <c r="B150" s="2">
        <v>2387.8009999999999</v>
      </c>
      <c r="C150" s="1">
        <v>41060</v>
      </c>
      <c r="D150" s="2">
        <v>231.2355</v>
      </c>
      <c r="E150" s="1">
        <v>41060</v>
      </c>
      <c r="F150" s="2">
        <v>211.87200000000001</v>
      </c>
      <c r="G150" s="1">
        <v>41060</v>
      </c>
      <c r="H150" s="2">
        <v>260.1583</v>
      </c>
      <c r="I150" s="1">
        <v>41089</v>
      </c>
      <c r="J150" s="2">
        <v>138.8082</v>
      </c>
      <c r="K150" s="1">
        <v>41060</v>
      </c>
      <c r="L150" s="2">
        <v>147.6643</v>
      </c>
      <c r="M150" s="1">
        <v>41060</v>
      </c>
      <c r="N150" s="2">
        <v>144.79409999999999</v>
      </c>
      <c r="O150" s="1">
        <v>41089</v>
      </c>
      <c r="P150" s="2">
        <v>125.6375</v>
      </c>
      <c r="Q150" s="1">
        <v>41060</v>
      </c>
      <c r="R150" s="2">
        <v>163.5292</v>
      </c>
      <c r="S150" s="1">
        <v>41060</v>
      </c>
      <c r="T150" s="2">
        <v>430.83109999999999</v>
      </c>
      <c r="U150" s="1">
        <v>41060</v>
      </c>
      <c r="V150" s="2">
        <v>301.4015</v>
      </c>
      <c r="W150" s="1">
        <v>41060</v>
      </c>
      <c r="X150" s="2">
        <v>1863.56</v>
      </c>
      <c r="Y150" s="1">
        <v>41060</v>
      </c>
      <c r="Z150" s="2">
        <v>129.49</v>
      </c>
      <c r="AA150" s="1">
        <v>41425</v>
      </c>
      <c r="AB150" s="2">
        <v>367.9502</v>
      </c>
      <c r="AC150" s="1">
        <v>41060</v>
      </c>
      <c r="AD150" s="2">
        <v>301.61</v>
      </c>
      <c r="AE150" s="1">
        <v>41425</v>
      </c>
      <c r="AF150" s="2">
        <v>236.614</v>
      </c>
      <c r="AG150" s="1">
        <v>41425</v>
      </c>
      <c r="AH150" s="2">
        <v>321.30419999999998</v>
      </c>
      <c r="AI150" s="1">
        <v>41425</v>
      </c>
      <c r="AJ150" s="2">
        <v>466.55070000000001</v>
      </c>
      <c r="AK150" s="1">
        <v>41060</v>
      </c>
      <c r="AL150" s="2">
        <v>2974.72</v>
      </c>
      <c r="AM150" s="1">
        <v>41060</v>
      </c>
      <c r="AN150" s="2">
        <v>1000</v>
      </c>
      <c r="AO150" s="1">
        <v>41060</v>
      </c>
      <c r="AP150" s="2">
        <v>1781.94</v>
      </c>
      <c r="AQ150" s="1">
        <v>41060</v>
      </c>
      <c r="AR150" s="2">
        <v>1000</v>
      </c>
      <c r="AS150" s="1">
        <v>41060</v>
      </c>
      <c r="AT150" s="2">
        <v>4695.17</v>
      </c>
      <c r="AU150" s="1">
        <v>41060</v>
      </c>
      <c r="AV150" s="2">
        <v>2327.36</v>
      </c>
      <c r="AW150" s="1">
        <v>42521</v>
      </c>
      <c r="AX150" s="2">
        <v>4105.12</v>
      </c>
      <c r="AY150" s="2">
        <v>42460</v>
      </c>
      <c r="AZ150" s="2">
        <v>112.16</v>
      </c>
      <c r="BC150" s="1">
        <v>41060</v>
      </c>
      <c r="BD150" s="2">
        <v>1.93</v>
      </c>
      <c r="BE150" s="1">
        <v>41060</v>
      </c>
      <c r="BF150" s="2">
        <v>90.26</v>
      </c>
      <c r="BG150" s="1">
        <v>41060</v>
      </c>
      <c r="BH150" s="2">
        <v>149.018</v>
      </c>
      <c r="BI150" s="1">
        <v>41060</v>
      </c>
      <c r="BJ150" s="2">
        <v>198.67500000000001</v>
      </c>
      <c r="BK150" s="1">
        <v>41060</v>
      </c>
      <c r="BL150" s="2">
        <v>932.26059999999995</v>
      </c>
      <c r="BM150" s="1">
        <v>42580</v>
      </c>
      <c r="BN150" s="2">
        <v>2319.9299999999998</v>
      </c>
      <c r="BO150" s="1">
        <v>42674</v>
      </c>
      <c r="BP150" s="2">
        <v>298.01</v>
      </c>
    </row>
    <row r="151" spans="1:68" x14ac:dyDescent="0.25">
      <c r="A151" s="1">
        <v>41089</v>
      </c>
      <c r="B151" s="2">
        <v>2274.5349999999999</v>
      </c>
      <c r="C151" s="1">
        <v>41089</v>
      </c>
      <c r="D151" s="2">
        <v>237.34389999999999</v>
      </c>
      <c r="E151" s="1">
        <v>41089</v>
      </c>
      <c r="F151" s="2">
        <v>221.35900000000001</v>
      </c>
      <c r="G151" s="1">
        <v>41089</v>
      </c>
      <c r="H151" s="2">
        <v>271.50619999999998</v>
      </c>
      <c r="I151" s="1">
        <v>41121</v>
      </c>
      <c r="J151" s="2">
        <v>139.61709999999999</v>
      </c>
      <c r="K151" s="1">
        <v>41089</v>
      </c>
      <c r="L151" s="2">
        <v>146.15289999999999</v>
      </c>
      <c r="M151" s="1">
        <v>41089</v>
      </c>
      <c r="N151" s="2">
        <v>142.02850000000001</v>
      </c>
      <c r="O151" s="1">
        <v>41121</v>
      </c>
      <c r="P151" s="2">
        <v>126.43729999999999</v>
      </c>
      <c r="Q151" s="1">
        <v>41089</v>
      </c>
      <c r="R151" s="2">
        <v>159.6824</v>
      </c>
      <c r="S151" s="1">
        <v>41089</v>
      </c>
      <c r="T151" s="2">
        <v>430.12450000000001</v>
      </c>
      <c r="U151" s="1">
        <v>41089</v>
      </c>
      <c r="V151" s="2">
        <v>301.88850000000002</v>
      </c>
      <c r="W151" s="1">
        <v>41089</v>
      </c>
      <c r="X151" s="2">
        <v>1865.72</v>
      </c>
      <c r="Y151" s="1">
        <v>41089</v>
      </c>
      <c r="Z151" s="2">
        <v>134.268</v>
      </c>
      <c r="AA151" s="1">
        <v>41453</v>
      </c>
      <c r="AB151" s="2">
        <v>351.93920000000003</v>
      </c>
      <c r="AC151" s="1">
        <v>41089</v>
      </c>
      <c r="AD151" s="2">
        <v>312.71280000000002</v>
      </c>
      <c r="AE151" s="1">
        <v>41453</v>
      </c>
      <c r="AF151" s="2">
        <v>228.3493</v>
      </c>
      <c r="AG151" s="1">
        <v>41453</v>
      </c>
      <c r="AH151" s="2">
        <v>325.04199999999997</v>
      </c>
      <c r="AI151" s="1">
        <v>41453</v>
      </c>
      <c r="AJ151" s="2">
        <v>409.27800000000002</v>
      </c>
      <c r="AK151" s="1">
        <v>41089</v>
      </c>
      <c r="AL151" s="2">
        <v>3126.3</v>
      </c>
      <c r="AM151" s="1">
        <v>41089</v>
      </c>
      <c r="AN151" s="2">
        <v>1041.78</v>
      </c>
      <c r="AO151" s="1">
        <v>41089</v>
      </c>
      <c r="AP151" s="2">
        <v>1856.95</v>
      </c>
      <c r="AQ151" s="1">
        <v>41089</v>
      </c>
      <c r="AR151" s="2">
        <v>1041.23</v>
      </c>
      <c r="AS151" s="1">
        <v>41089</v>
      </c>
      <c r="AT151" s="2">
        <v>4986.43</v>
      </c>
      <c r="AU151" s="1">
        <v>41089</v>
      </c>
      <c r="AV151" s="2">
        <v>2420.3200000000002</v>
      </c>
      <c r="AW151" s="1">
        <v>42551</v>
      </c>
      <c r="AX151" s="2">
        <v>4235.13</v>
      </c>
      <c r="AY151" s="2">
        <v>42489</v>
      </c>
      <c r="AZ151" s="2">
        <v>113.11</v>
      </c>
      <c r="BC151" s="1">
        <v>41089</v>
      </c>
      <c r="BD151" s="2">
        <v>1.82</v>
      </c>
      <c r="BE151" s="1">
        <v>41089</v>
      </c>
      <c r="BF151" s="2">
        <v>92.686999999999998</v>
      </c>
      <c r="BG151" s="1">
        <v>41089</v>
      </c>
      <c r="BH151" s="2">
        <v>156.21</v>
      </c>
      <c r="BI151" s="1">
        <v>41089</v>
      </c>
      <c r="BJ151" s="2">
        <v>203.512</v>
      </c>
      <c r="BK151" s="1">
        <v>41089</v>
      </c>
      <c r="BL151" s="2">
        <v>932.85170000000005</v>
      </c>
      <c r="BM151" s="1">
        <v>42613</v>
      </c>
      <c r="BN151" s="2">
        <v>2302.3710000000001</v>
      </c>
      <c r="BO151" s="1">
        <v>42704</v>
      </c>
      <c r="BP151" s="2">
        <v>308.70999999999998</v>
      </c>
    </row>
    <row r="152" spans="1:68" x14ac:dyDescent="0.25">
      <c r="A152" s="1">
        <v>41121</v>
      </c>
      <c r="B152" s="2">
        <v>2392.2849999999999</v>
      </c>
      <c r="C152" s="1">
        <v>41121</v>
      </c>
      <c r="D152" s="2">
        <v>242.2723</v>
      </c>
      <c r="E152" s="1">
        <v>41121</v>
      </c>
      <c r="F152" s="2">
        <v>226.23500000000001</v>
      </c>
      <c r="G152" s="1">
        <v>41121</v>
      </c>
      <c r="H152" s="2">
        <v>271.5616</v>
      </c>
      <c r="I152" s="1">
        <v>41152</v>
      </c>
      <c r="J152" s="2">
        <v>139.3623</v>
      </c>
      <c r="K152" s="1">
        <v>41121</v>
      </c>
      <c r="L152" s="2">
        <v>145.79679999999999</v>
      </c>
      <c r="M152" s="1">
        <v>41121</v>
      </c>
      <c r="N152" s="2">
        <v>144.55629999999999</v>
      </c>
      <c r="O152" s="1">
        <v>41152</v>
      </c>
      <c r="P152" s="2">
        <v>126.1874</v>
      </c>
      <c r="Q152" s="1">
        <v>41121</v>
      </c>
      <c r="R152" s="2">
        <v>160.0574</v>
      </c>
      <c r="S152" s="1">
        <v>41121</v>
      </c>
      <c r="T152" s="2">
        <v>435.95339999999999</v>
      </c>
      <c r="U152" s="1">
        <v>41121</v>
      </c>
      <c r="V152" s="2">
        <v>305.30680000000001</v>
      </c>
      <c r="W152" s="1">
        <v>41121</v>
      </c>
      <c r="X152" s="2">
        <v>1880.72</v>
      </c>
      <c r="Y152" s="1">
        <v>41121</v>
      </c>
      <c r="Z152" s="2">
        <v>125.55</v>
      </c>
      <c r="AA152" s="1">
        <v>41486</v>
      </c>
      <c r="AB152" s="2">
        <v>359.44139999999999</v>
      </c>
      <c r="AC152" s="1">
        <v>41121</v>
      </c>
      <c r="AD152" s="2">
        <v>329.95420000000001</v>
      </c>
      <c r="AE152" s="1">
        <v>41486</v>
      </c>
      <c r="AF152" s="2">
        <v>223.48769999999999</v>
      </c>
      <c r="AG152" s="1">
        <v>41486</v>
      </c>
      <c r="AH152" s="2">
        <v>345.12779999999998</v>
      </c>
      <c r="AI152" s="1">
        <v>41486</v>
      </c>
      <c r="AJ152" s="2">
        <v>431.97460000000001</v>
      </c>
      <c r="AK152" s="1">
        <v>41121</v>
      </c>
      <c r="AL152" s="2">
        <v>3166.49</v>
      </c>
      <c r="AM152" s="1">
        <v>41121</v>
      </c>
      <c r="AN152" s="2">
        <v>1062.6199999999999</v>
      </c>
      <c r="AO152" s="1">
        <v>41121</v>
      </c>
      <c r="AP152" s="2">
        <v>1898.19</v>
      </c>
      <c r="AQ152" s="1">
        <v>41121</v>
      </c>
      <c r="AR152" s="2">
        <v>1060.98</v>
      </c>
      <c r="AS152" s="1">
        <v>41121</v>
      </c>
      <c r="AT152" s="2">
        <v>5038.87</v>
      </c>
      <c r="AU152" s="1">
        <v>41121</v>
      </c>
      <c r="AV152" s="2">
        <v>2457.1799999999998</v>
      </c>
      <c r="AW152" s="1">
        <v>42580</v>
      </c>
      <c r="AX152" s="2">
        <v>4254.34</v>
      </c>
      <c r="AY152" s="2">
        <v>42521</v>
      </c>
      <c r="AZ152" s="2">
        <v>113.55</v>
      </c>
      <c r="BC152" s="1">
        <v>41121</v>
      </c>
      <c r="BD152" s="2">
        <v>1.64</v>
      </c>
      <c r="BE152" s="1">
        <v>41121</v>
      </c>
      <c r="BF152" s="2">
        <v>88.694000000000003</v>
      </c>
      <c r="BG152" s="1">
        <v>41121</v>
      </c>
      <c r="BH152" s="2">
        <v>136.98699999999999</v>
      </c>
      <c r="BI152" s="1">
        <v>41121</v>
      </c>
      <c r="BJ152" s="2">
        <v>196.523</v>
      </c>
      <c r="BK152" s="1">
        <v>41121</v>
      </c>
      <c r="BL152" s="2">
        <v>941.78830000000005</v>
      </c>
      <c r="BM152" s="1">
        <v>42643</v>
      </c>
      <c r="BN152" s="2">
        <v>2320.625</v>
      </c>
      <c r="BO152" s="1">
        <v>42734</v>
      </c>
      <c r="BP152" s="2">
        <v>315.83999999999997</v>
      </c>
    </row>
    <row r="153" spans="1:68" x14ac:dyDescent="0.25">
      <c r="A153" s="1">
        <v>41152</v>
      </c>
      <c r="B153" s="2">
        <v>2344.402</v>
      </c>
      <c r="C153" s="1">
        <v>41152</v>
      </c>
      <c r="D153" s="2">
        <v>240.97389999999999</v>
      </c>
      <c r="E153" s="1">
        <v>41152</v>
      </c>
      <c r="F153" s="2">
        <v>222.93</v>
      </c>
      <c r="G153" s="1">
        <v>41152</v>
      </c>
      <c r="H153" s="2">
        <v>273.1798</v>
      </c>
      <c r="I153" s="1">
        <v>41180</v>
      </c>
      <c r="J153" s="2">
        <v>139.23140000000001</v>
      </c>
      <c r="K153" s="1">
        <v>41152</v>
      </c>
      <c r="L153" s="2">
        <v>146.47370000000001</v>
      </c>
      <c r="M153" s="1">
        <v>41152</v>
      </c>
      <c r="N153" s="2">
        <v>143.68109999999999</v>
      </c>
      <c r="O153" s="1">
        <v>41180</v>
      </c>
      <c r="P153" s="2">
        <v>125.41930000000001</v>
      </c>
      <c r="Q153" s="1">
        <v>41152</v>
      </c>
      <c r="R153" s="2">
        <v>159.3921</v>
      </c>
      <c r="S153" s="1">
        <v>41152</v>
      </c>
      <c r="T153" s="2">
        <v>436.9889</v>
      </c>
      <c r="U153" s="1">
        <v>41152</v>
      </c>
      <c r="V153" s="2">
        <v>309.22149999999999</v>
      </c>
      <c r="W153" s="1">
        <v>41152</v>
      </c>
      <c r="X153" s="2">
        <v>1882.83</v>
      </c>
      <c r="Y153" s="1">
        <v>41152</v>
      </c>
      <c r="Z153" s="2">
        <v>132.68299999999999</v>
      </c>
      <c r="AA153" s="1">
        <v>41516</v>
      </c>
      <c r="AB153" s="2">
        <v>374.4812</v>
      </c>
      <c r="AC153" s="1">
        <v>41152</v>
      </c>
      <c r="AD153" s="2">
        <v>336.47809999999998</v>
      </c>
      <c r="AE153" s="1">
        <v>41516</v>
      </c>
      <c r="AF153" s="2">
        <v>230.08279999999999</v>
      </c>
      <c r="AG153" s="1">
        <v>41516</v>
      </c>
      <c r="AH153" s="2">
        <v>358.10489999999999</v>
      </c>
      <c r="AI153" s="1">
        <v>41516</v>
      </c>
      <c r="AJ153" s="2">
        <v>472.61419999999998</v>
      </c>
      <c r="AK153" s="1">
        <v>41152</v>
      </c>
      <c r="AL153" s="2">
        <v>3246.77</v>
      </c>
      <c r="AM153" s="1">
        <v>41152</v>
      </c>
      <c r="AN153" s="2">
        <v>1085.21</v>
      </c>
      <c r="AO153" s="1">
        <v>41152</v>
      </c>
      <c r="AP153" s="2">
        <v>1910.65</v>
      </c>
      <c r="AQ153" s="1">
        <v>41152</v>
      </c>
      <c r="AR153" s="2">
        <v>1075.31</v>
      </c>
      <c r="AS153" s="1">
        <v>41152</v>
      </c>
      <c r="AT153" s="2">
        <v>5153.07</v>
      </c>
      <c r="AU153" s="1">
        <v>41152</v>
      </c>
      <c r="AV153" s="2">
        <v>2526.14</v>
      </c>
      <c r="AW153" s="1">
        <v>42613</v>
      </c>
      <c r="AX153" s="2">
        <v>4213.25</v>
      </c>
      <c r="AY153" s="2">
        <v>42551</v>
      </c>
      <c r="AZ153" s="2">
        <v>108.55</v>
      </c>
      <c r="BC153" s="1">
        <v>41152</v>
      </c>
      <c r="BD153" s="2">
        <v>1.58</v>
      </c>
      <c r="BE153" s="1">
        <v>41152</v>
      </c>
      <c r="BF153" s="2">
        <v>95.847999999999999</v>
      </c>
      <c r="BG153" s="1">
        <v>41152</v>
      </c>
      <c r="BH153" s="2">
        <v>147.57400000000001</v>
      </c>
      <c r="BI153" s="1">
        <v>41152</v>
      </c>
      <c r="BJ153" s="2">
        <v>208.18899999999999</v>
      </c>
      <c r="BK153" s="1">
        <v>41152</v>
      </c>
      <c r="BL153" s="2">
        <v>948.83130000000006</v>
      </c>
      <c r="BM153" s="1">
        <v>42674</v>
      </c>
      <c r="BN153" s="2">
        <v>2248.8649999999998</v>
      </c>
      <c r="BO153" s="1">
        <v>42766</v>
      </c>
      <c r="BP153" s="2">
        <v>328.09</v>
      </c>
    </row>
    <row r="154" spans="1:68" x14ac:dyDescent="0.25">
      <c r="A154" s="1">
        <v>41180</v>
      </c>
      <c r="B154" s="2">
        <v>2295.8310000000001</v>
      </c>
      <c r="C154" s="1">
        <v>41180</v>
      </c>
      <c r="D154" s="2">
        <v>242.54390000000001</v>
      </c>
      <c r="E154" s="1">
        <v>41180</v>
      </c>
      <c r="F154" s="2">
        <v>221.23500000000001</v>
      </c>
      <c r="G154" s="1">
        <v>41180</v>
      </c>
      <c r="H154" s="2">
        <v>279.62430000000001</v>
      </c>
      <c r="I154" s="1">
        <v>41213</v>
      </c>
      <c r="J154" s="2">
        <v>138.72640000000001</v>
      </c>
      <c r="K154" s="1">
        <v>41180</v>
      </c>
      <c r="L154" s="2">
        <v>146.80680000000001</v>
      </c>
      <c r="M154" s="1">
        <v>41180</v>
      </c>
      <c r="N154" s="2">
        <v>143.23609999999999</v>
      </c>
      <c r="O154" s="1">
        <v>41213</v>
      </c>
      <c r="P154" s="2">
        <v>124.64</v>
      </c>
      <c r="Q154" s="1">
        <v>41180</v>
      </c>
      <c r="R154" s="2">
        <v>160.05699999999999</v>
      </c>
      <c r="S154" s="1">
        <v>41180</v>
      </c>
      <c r="T154" s="2">
        <v>438.72120000000001</v>
      </c>
      <c r="U154" s="1">
        <v>41180</v>
      </c>
      <c r="V154" s="2">
        <v>311.55149999999998</v>
      </c>
      <c r="W154" s="1">
        <v>41180</v>
      </c>
      <c r="X154" s="2">
        <v>1886.74</v>
      </c>
      <c r="Y154" s="1">
        <v>41180</v>
      </c>
      <c r="Z154" s="2">
        <v>140.20500000000001</v>
      </c>
      <c r="AA154" s="1">
        <v>41547</v>
      </c>
      <c r="AB154" s="2">
        <v>365.71690000000001</v>
      </c>
      <c r="AC154" s="1">
        <v>41180</v>
      </c>
      <c r="AD154" s="2">
        <v>344.00990000000002</v>
      </c>
      <c r="AE154" s="1">
        <v>41547</v>
      </c>
      <c r="AF154" s="2">
        <v>227.22909999999999</v>
      </c>
      <c r="AG154" s="1">
        <v>41547</v>
      </c>
      <c r="AH154" s="2">
        <v>344.5462</v>
      </c>
      <c r="AI154" s="1">
        <v>41547</v>
      </c>
      <c r="AJ154" s="2">
        <v>445.93509999999998</v>
      </c>
      <c r="AK154" s="1">
        <v>41180</v>
      </c>
      <c r="AL154" s="2">
        <v>3335.96</v>
      </c>
      <c r="AM154" s="1">
        <v>41180</v>
      </c>
      <c r="AN154" s="2">
        <v>1112.24</v>
      </c>
      <c r="AO154" s="1">
        <v>41180</v>
      </c>
      <c r="AP154" s="2">
        <v>1942.6</v>
      </c>
      <c r="AQ154" s="1">
        <v>41180</v>
      </c>
      <c r="AR154" s="2">
        <v>1099.3499999999999</v>
      </c>
      <c r="AS154" s="1">
        <v>41180</v>
      </c>
      <c r="AT154" s="2">
        <v>5311.93</v>
      </c>
      <c r="AU154" s="1">
        <v>41180</v>
      </c>
      <c r="AV154" s="2">
        <v>2587.0300000000002</v>
      </c>
      <c r="AW154" s="1">
        <v>42643</v>
      </c>
      <c r="AX154" s="2">
        <v>4265.66</v>
      </c>
      <c r="AY154" s="2">
        <v>42580</v>
      </c>
      <c r="AZ154" s="2">
        <v>115.88</v>
      </c>
      <c r="BC154" s="1">
        <v>41180</v>
      </c>
      <c r="BD154" s="2">
        <v>1.44</v>
      </c>
      <c r="BE154" s="1">
        <v>41180</v>
      </c>
      <c r="BF154" s="2">
        <v>100.774</v>
      </c>
      <c r="BG154" s="1">
        <v>41180</v>
      </c>
      <c r="BH154" s="2">
        <v>154.059</v>
      </c>
      <c r="BI154" s="1">
        <v>41180</v>
      </c>
      <c r="BJ154" s="2">
        <v>219.80099999999999</v>
      </c>
      <c r="BK154" s="1">
        <v>41180</v>
      </c>
      <c r="BL154" s="2">
        <v>960.73379999999997</v>
      </c>
      <c r="BM154" s="1">
        <v>42704</v>
      </c>
      <c r="BN154" s="2">
        <v>2250.7620000000002</v>
      </c>
      <c r="BO154" s="1">
        <v>42794</v>
      </c>
      <c r="BP154" s="2">
        <v>326.67</v>
      </c>
    </row>
    <row r="155" spans="1:68" x14ac:dyDescent="0.25">
      <c r="A155" s="1">
        <v>41213</v>
      </c>
      <c r="B155" s="2">
        <v>2184.299</v>
      </c>
      <c r="C155" s="1">
        <v>41213</v>
      </c>
      <c r="D155" s="2">
        <v>242.17869999999999</v>
      </c>
      <c r="E155" s="1">
        <v>41213</v>
      </c>
      <c r="F155" s="2">
        <v>222.91300000000001</v>
      </c>
      <c r="G155" s="1">
        <v>41213</v>
      </c>
      <c r="H155" s="2">
        <v>278.55840000000001</v>
      </c>
      <c r="I155" s="1">
        <v>41243</v>
      </c>
      <c r="J155" s="2">
        <v>138.60409999999999</v>
      </c>
      <c r="K155" s="1">
        <v>41213</v>
      </c>
      <c r="L155" s="2">
        <v>146.56399999999999</v>
      </c>
      <c r="M155" s="1">
        <v>41213</v>
      </c>
      <c r="N155" s="2">
        <v>142.4299</v>
      </c>
      <c r="O155" s="1">
        <v>41243</v>
      </c>
      <c r="P155" s="2">
        <v>123.97410000000001</v>
      </c>
      <c r="Q155" s="1">
        <v>41213</v>
      </c>
      <c r="R155" s="2">
        <v>159.95189999999999</v>
      </c>
      <c r="S155" s="1">
        <v>41213</v>
      </c>
      <c r="T155" s="2">
        <v>439.95940000000002</v>
      </c>
      <c r="U155" s="1">
        <v>41213</v>
      </c>
      <c r="V155" s="2">
        <v>313.03660000000002</v>
      </c>
      <c r="W155" s="1">
        <v>41213</v>
      </c>
      <c r="X155" s="2">
        <v>1883.58</v>
      </c>
      <c r="Y155" s="1">
        <v>41213</v>
      </c>
      <c r="Z155" s="2">
        <v>140.47800000000001</v>
      </c>
      <c r="AA155" s="1">
        <v>41578</v>
      </c>
      <c r="AB155" s="2">
        <v>363.7604</v>
      </c>
      <c r="AC155" s="1">
        <v>41213</v>
      </c>
      <c r="AD155" s="2">
        <v>331.37380000000002</v>
      </c>
      <c r="AE155" s="1">
        <v>41578</v>
      </c>
      <c r="AF155" s="2">
        <v>223.7501</v>
      </c>
      <c r="AG155" s="1">
        <v>41578</v>
      </c>
      <c r="AH155" s="2">
        <v>343.46699999999998</v>
      </c>
      <c r="AI155" s="1">
        <v>41578</v>
      </c>
      <c r="AJ155" s="2">
        <v>445.947</v>
      </c>
      <c r="AK155" s="1">
        <v>41213</v>
      </c>
      <c r="AL155" s="2">
        <v>3313.42</v>
      </c>
      <c r="AM155" s="1">
        <v>41213</v>
      </c>
      <c r="AN155" s="2">
        <v>1090.3499999999999</v>
      </c>
      <c r="AO155" s="1">
        <v>41213</v>
      </c>
      <c r="AP155" s="2">
        <v>1925.17</v>
      </c>
      <c r="AQ155" s="1">
        <v>41213</v>
      </c>
      <c r="AR155" s="2">
        <v>1075.6400000000001</v>
      </c>
      <c r="AS155" s="1">
        <v>41213</v>
      </c>
      <c r="AT155" s="2">
        <v>5322.06</v>
      </c>
      <c r="AU155" s="1">
        <v>41213</v>
      </c>
      <c r="AV155" s="2">
        <v>2546.94</v>
      </c>
      <c r="AW155" s="1">
        <v>42674</v>
      </c>
      <c r="AX155" s="2">
        <v>4191.96</v>
      </c>
      <c r="AY155" s="2">
        <v>42613</v>
      </c>
      <c r="AZ155" s="2">
        <v>117.67</v>
      </c>
      <c r="BC155" s="1">
        <v>41213</v>
      </c>
      <c r="BD155" s="2">
        <v>1.28</v>
      </c>
      <c r="BE155" s="1">
        <v>41213</v>
      </c>
      <c r="BF155" s="2">
        <v>96.721999999999994</v>
      </c>
      <c r="BG155" s="1">
        <v>41213</v>
      </c>
      <c r="BH155" s="2">
        <v>157.85499999999999</v>
      </c>
      <c r="BI155" s="1">
        <v>41213</v>
      </c>
      <c r="BJ155" s="2">
        <v>213.499</v>
      </c>
      <c r="BK155" s="1">
        <v>41213</v>
      </c>
      <c r="BL155" s="2">
        <v>954.64850000000001</v>
      </c>
      <c r="BM155" s="1">
        <v>42734</v>
      </c>
      <c r="BN155" s="2">
        <v>2303.848</v>
      </c>
      <c r="BO155" s="1">
        <v>42825</v>
      </c>
      <c r="BP155" s="2">
        <v>331.02</v>
      </c>
    </row>
    <row r="156" spans="1:68" x14ac:dyDescent="0.25">
      <c r="A156" s="1">
        <v>41243</v>
      </c>
      <c r="B156" s="2">
        <v>2186.8069999999998</v>
      </c>
      <c r="C156" s="1">
        <v>41243</v>
      </c>
      <c r="D156" s="2">
        <v>243.25960000000001</v>
      </c>
      <c r="E156" s="1">
        <v>41243</v>
      </c>
      <c r="F156" s="2">
        <v>226.44900000000001</v>
      </c>
      <c r="G156" s="1">
        <v>41243</v>
      </c>
      <c r="H156" s="2">
        <v>278.13560000000001</v>
      </c>
      <c r="I156" s="1">
        <v>41274</v>
      </c>
      <c r="J156" s="2">
        <v>138.68549999999999</v>
      </c>
      <c r="K156" s="1">
        <v>41243</v>
      </c>
      <c r="L156" s="2">
        <v>145.8312</v>
      </c>
      <c r="M156" s="1">
        <v>41243</v>
      </c>
      <c r="N156" s="2">
        <v>143.4907</v>
      </c>
      <c r="O156" s="1">
        <v>41274</v>
      </c>
      <c r="P156" s="2">
        <v>123.16840000000001</v>
      </c>
      <c r="Q156" s="1">
        <v>41243</v>
      </c>
      <c r="R156" s="2">
        <v>160.15549999999999</v>
      </c>
      <c r="S156" s="1">
        <v>41243</v>
      </c>
      <c r="T156" s="2">
        <v>442.17739999999998</v>
      </c>
      <c r="U156" s="1">
        <v>41243</v>
      </c>
      <c r="V156" s="2">
        <v>317.58819999999997</v>
      </c>
      <c r="W156" s="1">
        <v>41243</v>
      </c>
      <c r="X156" s="2">
        <v>1880.34</v>
      </c>
      <c r="Y156" s="1">
        <v>41243</v>
      </c>
      <c r="Z156" s="2">
        <v>136.55799999999999</v>
      </c>
      <c r="AA156" s="1">
        <v>41607</v>
      </c>
      <c r="AB156" s="2">
        <v>358.8999</v>
      </c>
      <c r="AC156" s="1">
        <v>41243</v>
      </c>
      <c r="AD156" s="2">
        <v>333.7998</v>
      </c>
      <c r="AE156" s="1">
        <v>41607</v>
      </c>
      <c r="AF156" s="2">
        <v>225.25399999999999</v>
      </c>
      <c r="AG156" s="1">
        <v>41607</v>
      </c>
      <c r="AH156" s="2">
        <v>346.7124</v>
      </c>
      <c r="AI156" s="1">
        <v>41607</v>
      </c>
      <c r="AJ156" s="2">
        <v>417.6755</v>
      </c>
      <c r="AK156" s="1">
        <v>41243</v>
      </c>
      <c r="AL156" s="2">
        <v>3355.85</v>
      </c>
      <c r="AM156" s="1">
        <v>41243</v>
      </c>
      <c r="AN156" s="2">
        <v>1101.77</v>
      </c>
      <c r="AO156" s="1">
        <v>41243</v>
      </c>
      <c r="AP156" s="2">
        <v>1926.01</v>
      </c>
      <c r="AQ156" s="1">
        <v>41243</v>
      </c>
      <c r="AR156" s="2">
        <v>1088.02</v>
      </c>
      <c r="AS156" s="1">
        <v>41243</v>
      </c>
      <c r="AT156" s="2">
        <v>5348.29</v>
      </c>
      <c r="AU156" s="1">
        <v>41243</v>
      </c>
      <c r="AV156" s="2">
        <v>2600.12</v>
      </c>
      <c r="AW156" s="1">
        <v>42704</v>
      </c>
      <c r="AX156" s="2">
        <v>4146.3</v>
      </c>
      <c r="AY156" s="2">
        <v>42643</v>
      </c>
      <c r="AZ156" s="2">
        <v>117.86</v>
      </c>
      <c r="BC156" s="1">
        <v>41243</v>
      </c>
      <c r="BD156" s="2">
        <v>1.36</v>
      </c>
      <c r="BE156" s="1">
        <v>41243</v>
      </c>
      <c r="BF156" s="2">
        <v>99.694999999999993</v>
      </c>
      <c r="BG156" s="1">
        <v>41243</v>
      </c>
      <c r="BH156" s="2">
        <v>153.446</v>
      </c>
      <c r="BI156" s="1">
        <v>41243</v>
      </c>
      <c r="BJ156" s="2">
        <v>219.023</v>
      </c>
      <c r="BK156" s="1">
        <v>41243</v>
      </c>
      <c r="BL156" s="2">
        <v>953.20230000000004</v>
      </c>
      <c r="BM156" s="1">
        <v>42766</v>
      </c>
      <c r="BN156" s="2">
        <v>2334.5920000000001</v>
      </c>
      <c r="BO156" s="1">
        <v>42853</v>
      </c>
      <c r="BP156" s="2">
        <v>333.27</v>
      </c>
    </row>
    <row r="157" spans="1:68" x14ac:dyDescent="0.25">
      <c r="A157" s="1">
        <v>41274</v>
      </c>
      <c r="B157" s="2">
        <v>2214.6790000000001</v>
      </c>
      <c r="C157" s="1">
        <v>41274</v>
      </c>
      <c r="D157" s="2">
        <v>246.03749999999999</v>
      </c>
      <c r="E157" s="1">
        <v>41274</v>
      </c>
      <c r="F157" s="2">
        <v>227.50399999999999</v>
      </c>
      <c r="G157" s="1">
        <v>41274</v>
      </c>
      <c r="H157" s="2">
        <v>281.87869999999998</v>
      </c>
      <c r="I157" s="1">
        <v>41305</v>
      </c>
      <c r="J157" s="2">
        <v>139.2715</v>
      </c>
      <c r="K157" s="1">
        <v>41274</v>
      </c>
      <c r="L157" s="2">
        <v>147.49100000000001</v>
      </c>
      <c r="M157" s="1">
        <v>41274</v>
      </c>
      <c r="N157" s="2">
        <v>142.63140000000001</v>
      </c>
      <c r="O157" s="1">
        <v>41305</v>
      </c>
      <c r="P157" s="2">
        <v>122.9828</v>
      </c>
      <c r="Q157" s="1">
        <v>41274</v>
      </c>
      <c r="R157" s="2">
        <v>160.86660000000001</v>
      </c>
      <c r="S157" s="1">
        <v>41274</v>
      </c>
      <c r="T157" s="2">
        <v>442.6318</v>
      </c>
      <c r="U157" s="1">
        <v>41274</v>
      </c>
      <c r="V157" s="2">
        <v>319.96780000000001</v>
      </c>
      <c r="W157" s="1">
        <v>41274</v>
      </c>
      <c r="X157" s="2">
        <v>1882.91</v>
      </c>
      <c r="Y157" s="1">
        <v>41274</v>
      </c>
      <c r="Z157" s="2">
        <v>150.666</v>
      </c>
      <c r="AA157" s="1">
        <v>41639</v>
      </c>
      <c r="AB157" s="2">
        <v>359.39960000000002</v>
      </c>
      <c r="AC157" s="1">
        <v>41274</v>
      </c>
      <c r="AD157" s="2">
        <v>325.76659999999998</v>
      </c>
      <c r="AE157" s="1">
        <v>41639</v>
      </c>
      <c r="AF157" s="2">
        <v>221.202</v>
      </c>
      <c r="AG157" s="1">
        <v>41639</v>
      </c>
      <c r="AH157" s="2">
        <v>356.23239999999998</v>
      </c>
      <c r="AI157" s="1">
        <v>41639</v>
      </c>
      <c r="AJ157" s="2">
        <v>402.16730000000001</v>
      </c>
      <c r="AK157" s="1">
        <v>41274</v>
      </c>
      <c r="AL157" s="2">
        <v>3418.96</v>
      </c>
      <c r="AM157" s="1">
        <v>41274</v>
      </c>
      <c r="AN157" s="2">
        <v>1091.8</v>
      </c>
      <c r="AO157" s="1">
        <v>41274</v>
      </c>
      <c r="AP157" s="2">
        <v>1909.05</v>
      </c>
      <c r="AQ157" s="1">
        <v>41274</v>
      </c>
      <c r="AR157" s="2">
        <v>1083.3599999999999</v>
      </c>
      <c r="AS157" s="1">
        <v>41274</v>
      </c>
      <c r="AT157" s="2">
        <v>5495.71</v>
      </c>
      <c r="AU157" s="1">
        <v>41274</v>
      </c>
      <c r="AV157" s="2">
        <v>2626.75</v>
      </c>
      <c r="AW157" s="1">
        <v>42734</v>
      </c>
      <c r="AX157" s="2">
        <v>4276.13</v>
      </c>
      <c r="AY157" s="2">
        <v>42674</v>
      </c>
      <c r="AZ157" s="2">
        <v>116.07</v>
      </c>
      <c r="BC157" s="1">
        <v>41274</v>
      </c>
      <c r="BD157" s="2">
        <v>1.31</v>
      </c>
      <c r="BE157" s="1">
        <v>41274</v>
      </c>
      <c r="BF157" s="2">
        <v>103.29300000000001</v>
      </c>
      <c r="BG157" s="1">
        <v>41274</v>
      </c>
      <c r="BH157" s="2">
        <v>171.17699999999999</v>
      </c>
      <c r="BI157" s="1">
        <v>41274</v>
      </c>
      <c r="BJ157" s="2">
        <v>222.54599999999999</v>
      </c>
      <c r="BK157" s="1">
        <v>41274</v>
      </c>
      <c r="BL157" s="2">
        <v>944.32420000000002</v>
      </c>
      <c r="BM157" s="1">
        <v>42794</v>
      </c>
      <c r="BN157" s="2">
        <v>2388.9319999999998</v>
      </c>
      <c r="BO157" s="1">
        <v>42886</v>
      </c>
      <c r="BP157" s="2">
        <v>334.12</v>
      </c>
    </row>
    <row r="158" spans="1:68" x14ac:dyDescent="0.25">
      <c r="A158" s="1">
        <v>41305</v>
      </c>
      <c r="B158" s="2">
        <v>2274.0810000000001</v>
      </c>
      <c r="C158" s="1">
        <v>41305</v>
      </c>
      <c r="D158" s="2">
        <v>250.01589999999999</v>
      </c>
      <c r="E158" s="1">
        <v>41305</v>
      </c>
      <c r="F158" s="2">
        <v>228.85900000000001</v>
      </c>
      <c r="G158" s="1">
        <v>41305</v>
      </c>
      <c r="H158" s="2">
        <v>285.08859999999999</v>
      </c>
      <c r="I158" s="1">
        <v>41333</v>
      </c>
      <c r="J158" s="2">
        <v>138.4289</v>
      </c>
      <c r="K158" s="1">
        <v>41305</v>
      </c>
      <c r="L158" s="2">
        <v>151.16800000000001</v>
      </c>
      <c r="M158" s="1">
        <v>41305</v>
      </c>
      <c r="N158" s="2">
        <v>140.6533</v>
      </c>
      <c r="O158" s="1">
        <v>41333</v>
      </c>
      <c r="P158" s="2">
        <v>122.6953</v>
      </c>
      <c r="Q158" s="1">
        <v>41305</v>
      </c>
      <c r="R158" s="2">
        <v>161.92779999999999</v>
      </c>
      <c r="S158" s="1">
        <v>41305</v>
      </c>
      <c r="T158" s="2">
        <v>440.20499999999998</v>
      </c>
      <c r="U158" s="1">
        <v>41305</v>
      </c>
      <c r="V158" s="2">
        <v>321.63029999999998</v>
      </c>
      <c r="W158" s="1">
        <v>41305</v>
      </c>
      <c r="X158" s="2">
        <v>1873.49</v>
      </c>
      <c r="Y158" s="1">
        <v>41305</v>
      </c>
      <c r="Z158" s="2">
        <v>171.923</v>
      </c>
      <c r="AA158" s="1">
        <v>41670</v>
      </c>
      <c r="AB158" s="2">
        <v>354.38959999999997</v>
      </c>
      <c r="AC158" s="1">
        <v>41305</v>
      </c>
      <c r="AD158" s="2">
        <v>331.93880000000001</v>
      </c>
      <c r="AE158" s="1">
        <v>41670</v>
      </c>
      <c r="AF158" s="2">
        <v>220.66149999999999</v>
      </c>
      <c r="AG158" s="1">
        <v>41670</v>
      </c>
      <c r="AH158" s="2">
        <v>345.50389999999999</v>
      </c>
      <c r="AI158" s="1">
        <v>41670</v>
      </c>
      <c r="AJ158" s="2">
        <v>409.78179999999998</v>
      </c>
      <c r="AK158" s="1">
        <v>41305</v>
      </c>
      <c r="AL158" s="2">
        <v>3593.12</v>
      </c>
      <c r="AM158" s="1">
        <v>41305</v>
      </c>
      <c r="AN158" s="2">
        <v>1142.45</v>
      </c>
      <c r="AO158" s="1">
        <v>41305</v>
      </c>
      <c r="AP158" s="2">
        <v>1997.4</v>
      </c>
      <c r="AQ158" s="1">
        <v>41305</v>
      </c>
      <c r="AR158" s="2">
        <v>1128.3699999999999</v>
      </c>
      <c r="AS158" s="1">
        <v>41305</v>
      </c>
      <c r="AT158" s="2">
        <v>5817.78</v>
      </c>
      <c r="AU158" s="1">
        <v>41305</v>
      </c>
      <c r="AV158" s="2">
        <v>2740.53</v>
      </c>
      <c r="AW158" s="1">
        <v>42766</v>
      </c>
      <c r="AX158" s="2">
        <v>4266.7700000000004</v>
      </c>
      <c r="AY158" s="2">
        <v>42704</v>
      </c>
      <c r="AZ158" s="2">
        <v>119.52</v>
      </c>
      <c r="BC158" s="1">
        <v>41305</v>
      </c>
      <c r="BD158" s="2">
        <v>1.27</v>
      </c>
      <c r="BE158" s="1">
        <v>41305</v>
      </c>
      <c r="BF158" s="2">
        <v>110.512</v>
      </c>
      <c r="BG158" s="1">
        <v>41305</v>
      </c>
      <c r="BH158" s="2">
        <v>190.887</v>
      </c>
      <c r="BI158" s="1">
        <v>41305</v>
      </c>
      <c r="BJ158" s="2">
        <v>229.208</v>
      </c>
      <c r="BK158" s="1">
        <v>41305</v>
      </c>
      <c r="BL158" s="2">
        <v>932.39009999999996</v>
      </c>
      <c r="BM158" s="1">
        <v>42825</v>
      </c>
      <c r="BN158" s="2">
        <v>2401.364</v>
      </c>
      <c r="BO158" s="1">
        <v>42916</v>
      </c>
      <c r="BP158" s="2">
        <v>336.64</v>
      </c>
    </row>
    <row r="159" spans="1:68" x14ac:dyDescent="0.25">
      <c r="A159" s="1">
        <v>41333</v>
      </c>
      <c r="B159" s="2">
        <v>2253.5140000000001</v>
      </c>
      <c r="C159" s="1">
        <v>41333</v>
      </c>
      <c r="D159" s="2">
        <v>249.6591</v>
      </c>
      <c r="E159" s="1">
        <v>41333</v>
      </c>
      <c r="F159" s="2">
        <v>226.83799999999999</v>
      </c>
      <c r="G159" s="1">
        <v>41333</v>
      </c>
      <c r="H159" s="2">
        <v>281.9975</v>
      </c>
      <c r="I159" s="1">
        <v>41362</v>
      </c>
      <c r="J159" s="2">
        <v>138.827</v>
      </c>
      <c r="K159" s="1">
        <v>41333</v>
      </c>
      <c r="L159" s="2">
        <v>150.06270000000001</v>
      </c>
      <c r="M159" s="1">
        <v>41333</v>
      </c>
      <c r="N159" s="2">
        <v>139.70670000000001</v>
      </c>
      <c r="O159" s="1">
        <v>41362</v>
      </c>
      <c r="P159" s="2">
        <v>122.98739999999999</v>
      </c>
      <c r="Q159" s="1">
        <v>41333</v>
      </c>
      <c r="R159" s="2">
        <v>160.53960000000001</v>
      </c>
      <c r="S159" s="1">
        <v>41333</v>
      </c>
      <c r="T159" s="2">
        <v>442.87419999999997</v>
      </c>
      <c r="U159" s="1">
        <v>41333</v>
      </c>
      <c r="V159" s="2">
        <v>314.11090000000002</v>
      </c>
      <c r="W159" s="1">
        <v>41333</v>
      </c>
      <c r="X159" s="2">
        <v>1879.84</v>
      </c>
      <c r="Y159" s="1">
        <v>41333</v>
      </c>
      <c r="Z159" s="2">
        <v>163.739</v>
      </c>
      <c r="AA159" s="1">
        <v>41698</v>
      </c>
      <c r="AB159" s="2">
        <v>377.2611</v>
      </c>
      <c r="AC159" s="1">
        <v>41333</v>
      </c>
      <c r="AD159" s="2">
        <v>319.14670000000001</v>
      </c>
      <c r="AE159" s="1">
        <v>41698</v>
      </c>
      <c r="AF159" s="2">
        <v>240.48599999999999</v>
      </c>
      <c r="AG159" s="1">
        <v>41698</v>
      </c>
      <c r="AH159" s="2">
        <v>358.88119999999998</v>
      </c>
      <c r="AI159" s="1">
        <v>41698</v>
      </c>
      <c r="AJ159" s="2">
        <v>441.29</v>
      </c>
      <c r="AK159" s="1">
        <v>41333</v>
      </c>
      <c r="AL159" s="2">
        <v>3599.05</v>
      </c>
      <c r="AM159" s="1">
        <v>41333</v>
      </c>
      <c r="AN159" s="2">
        <v>1149.7</v>
      </c>
      <c r="AO159" s="1">
        <v>41333</v>
      </c>
      <c r="AP159" s="2">
        <v>2047.55</v>
      </c>
      <c r="AQ159" s="1">
        <v>41333</v>
      </c>
      <c r="AR159" s="2">
        <v>1145.8</v>
      </c>
      <c r="AS159" s="1">
        <v>41333</v>
      </c>
      <c r="AT159" s="2">
        <v>5799.62</v>
      </c>
      <c r="AU159" s="1">
        <v>41333</v>
      </c>
      <c r="AV159" s="2">
        <v>2758.24</v>
      </c>
      <c r="AW159" s="1">
        <v>42794</v>
      </c>
      <c r="AX159" s="2">
        <v>4403.3900000000003</v>
      </c>
      <c r="AY159" s="2">
        <v>42734</v>
      </c>
      <c r="AZ159" s="2">
        <v>121.21</v>
      </c>
      <c r="BC159" s="1">
        <v>41333</v>
      </c>
      <c r="BD159" s="2">
        <v>1.27</v>
      </c>
      <c r="BE159" s="1">
        <v>41333</v>
      </c>
      <c r="BF159" s="2">
        <v>111.285</v>
      </c>
      <c r="BG159" s="1">
        <v>41333</v>
      </c>
      <c r="BH159" s="2">
        <v>176.91399999999999</v>
      </c>
      <c r="BI159" s="1">
        <v>41333</v>
      </c>
      <c r="BJ159" s="2">
        <v>232.28399999999999</v>
      </c>
      <c r="BK159" s="1">
        <v>41333</v>
      </c>
      <c r="BL159" s="2">
        <v>921.03610000000003</v>
      </c>
      <c r="BM159" s="1">
        <v>42853</v>
      </c>
      <c r="BN159" s="2">
        <v>2414.7689999999998</v>
      </c>
      <c r="BO159" s="1">
        <v>42947</v>
      </c>
      <c r="BP159" s="2">
        <v>345.38</v>
      </c>
    </row>
    <row r="160" spans="1:68" x14ac:dyDescent="0.25">
      <c r="A160" s="1">
        <v>41362</v>
      </c>
      <c r="B160" s="2">
        <v>2296.1260000000002</v>
      </c>
      <c r="C160" s="1">
        <v>41362</v>
      </c>
      <c r="D160" s="2">
        <v>250.4238</v>
      </c>
      <c r="E160" s="1">
        <v>41362</v>
      </c>
      <c r="F160" s="2">
        <v>232.33699999999999</v>
      </c>
      <c r="G160" s="1">
        <v>41362</v>
      </c>
      <c r="H160" s="2">
        <v>279.4307</v>
      </c>
      <c r="I160" s="1">
        <v>41394</v>
      </c>
      <c r="J160" s="2">
        <v>139.3135</v>
      </c>
      <c r="K160" s="1">
        <v>41362</v>
      </c>
      <c r="L160" s="2">
        <v>150.50069999999999</v>
      </c>
      <c r="M160" s="1">
        <v>41362</v>
      </c>
      <c r="N160" s="2">
        <v>140.5301</v>
      </c>
      <c r="O160" s="1">
        <v>41394</v>
      </c>
      <c r="P160" s="2">
        <v>123.5322</v>
      </c>
      <c r="Q160" s="1">
        <v>41362</v>
      </c>
      <c r="R160" s="2">
        <v>160.69999999999999</v>
      </c>
      <c r="S160" s="1">
        <v>41362</v>
      </c>
      <c r="T160" s="2">
        <v>445.16309999999999</v>
      </c>
      <c r="U160" s="1">
        <v>41362</v>
      </c>
      <c r="V160" s="2">
        <v>316.96550000000002</v>
      </c>
      <c r="W160" s="1">
        <v>41362</v>
      </c>
      <c r="X160" s="2">
        <v>1882.03</v>
      </c>
      <c r="Y160" s="1">
        <v>41362</v>
      </c>
      <c r="Z160" s="2">
        <v>160.25700000000001</v>
      </c>
      <c r="AA160" s="1">
        <v>41729</v>
      </c>
      <c r="AB160" s="2">
        <v>379.52820000000003</v>
      </c>
      <c r="AC160" s="1">
        <v>41362</v>
      </c>
      <c r="AD160" s="2">
        <v>321.30540000000002</v>
      </c>
      <c r="AE160" s="1">
        <v>41729</v>
      </c>
      <c r="AF160" s="2">
        <v>251.7946</v>
      </c>
      <c r="AG160" s="1">
        <v>41729</v>
      </c>
      <c r="AH160" s="2">
        <v>355.64330000000001</v>
      </c>
      <c r="AI160" s="1">
        <v>41729</v>
      </c>
      <c r="AJ160" s="2">
        <v>423.79829999999998</v>
      </c>
      <c r="AK160" s="1">
        <v>41362</v>
      </c>
      <c r="AL160" s="2">
        <v>3683.36</v>
      </c>
      <c r="AM160" s="1">
        <v>41362</v>
      </c>
      <c r="AN160" s="2">
        <v>1177.0999999999999</v>
      </c>
      <c r="AO160" s="1">
        <v>41362</v>
      </c>
      <c r="AP160" s="2">
        <v>2151.44</v>
      </c>
      <c r="AQ160" s="1">
        <v>41362</v>
      </c>
      <c r="AR160" s="2">
        <v>1192.95</v>
      </c>
      <c r="AS160" s="1">
        <v>41362</v>
      </c>
      <c r="AT160" s="2">
        <v>5920.45</v>
      </c>
      <c r="AU160" s="1">
        <v>41362</v>
      </c>
      <c r="AV160" s="2">
        <v>2829.99</v>
      </c>
      <c r="AW160" s="1">
        <v>42825</v>
      </c>
      <c r="AX160" s="2">
        <v>4368.6099999999997</v>
      </c>
      <c r="AY160" s="2">
        <v>42766</v>
      </c>
      <c r="AZ160" s="2">
        <v>125.74</v>
      </c>
      <c r="BC160" s="1">
        <v>41362</v>
      </c>
      <c r="BD160" s="2">
        <v>1.3</v>
      </c>
      <c r="BE160" s="1">
        <v>41362</v>
      </c>
      <c r="BF160" s="2">
        <v>108.26600000000001</v>
      </c>
      <c r="BG160" s="1">
        <v>41362</v>
      </c>
      <c r="BH160" s="2">
        <v>177.25800000000001</v>
      </c>
      <c r="BI160" s="1">
        <v>41362</v>
      </c>
      <c r="BJ160" s="2">
        <v>233.63399999999999</v>
      </c>
      <c r="BK160" s="1">
        <v>41362</v>
      </c>
      <c r="BL160" s="2">
        <v>918.15099999999995</v>
      </c>
      <c r="BM160" s="1">
        <v>42886</v>
      </c>
      <c r="BN160" s="2">
        <v>2436.0070000000001</v>
      </c>
      <c r="BO160" s="1">
        <v>42978</v>
      </c>
      <c r="BP160" s="2">
        <v>341.51</v>
      </c>
    </row>
    <row r="161" spans="1:68" x14ac:dyDescent="0.25">
      <c r="A161" s="1">
        <v>41394</v>
      </c>
      <c r="B161" s="2">
        <v>2384.665</v>
      </c>
      <c r="C161" s="1">
        <v>41394</v>
      </c>
      <c r="D161" s="2">
        <v>252.87389999999999</v>
      </c>
      <c r="E161" s="1">
        <v>41394</v>
      </c>
      <c r="F161" s="2">
        <v>234.898</v>
      </c>
      <c r="G161" s="1">
        <v>41394</v>
      </c>
      <c r="H161" s="2">
        <v>285.7756</v>
      </c>
      <c r="I161" s="1">
        <v>41425</v>
      </c>
      <c r="J161" s="2">
        <v>138.95959999999999</v>
      </c>
      <c r="K161" s="1">
        <v>41394</v>
      </c>
      <c r="L161" s="2">
        <v>151.25909999999999</v>
      </c>
      <c r="M161" s="1">
        <v>41394</v>
      </c>
      <c r="N161" s="2">
        <v>141.8306</v>
      </c>
      <c r="O161" s="1">
        <v>41425</v>
      </c>
      <c r="P161" s="2">
        <v>123.57250000000001</v>
      </c>
      <c r="Q161" s="1">
        <v>41394</v>
      </c>
      <c r="R161" s="2">
        <v>160.12190000000001</v>
      </c>
      <c r="S161" s="1">
        <v>41394</v>
      </c>
      <c r="T161" s="2">
        <v>450.048</v>
      </c>
      <c r="U161" s="1">
        <v>41394</v>
      </c>
      <c r="V161" s="2">
        <v>325.1343</v>
      </c>
      <c r="W161" s="1">
        <v>41394</v>
      </c>
      <c r="X161" s="2">
        <v>1892.04</v>
      </c>
      <c r="Y161" s="1">
        <v>41394</v>
      </c>
      <c r="Z161" s="2">
        <v>146.04300000000001</v>
      </c>
      <c r="AA161" s="1">
        <v>41759</v>
      </c>
      <c r="AB161" s="2">
        <v>387.44069999999999</v>
      </c>
      <c r="AC161" s="1">
        <v>41394</v>
      </c>
      <c r="AD161" s="2">
        <v>313.16480000000001</v>
      </c>
      <c r="AE161" s="1">
        <v>41759</v>
      </c>
      <c r="AF161" s="2">
        <v>261.01749999999998</v>
      </c>
      <c r="AG161" s="1">
        <v>41759</v>
      </c>
      <c r="AH161" s="2">
        <v>357.77269999999999</v>
      </c>
      <c r="AI161" s="1">
        <v>41759</v>
      </c>
      <c r="AJ161" s="2">
        <v>423.32499999999999</v>
      </c>
      <c r="AK161" s="1">
        <v>41394</v>
      </c>
      <c r="AL161" s="2">
        <v>3799.35</v>
      </c>
      <c r="AM161" s="1">
        <v>41394</v>
      </c>
      <c r="AN161" s="2">
        <v>1205.1400000000001</v>
      </c>
      <c r="AO161" s="1">
        <v>41394</v>
      </c>
      <c r="AP161" s="2">
        <v>2215.5100000000002</v>
      </c>
      <c r="AQ161" s="1">
        <v>41394</v>
      </c>
      <c r="AR161" s="2">
        <v>1229.79</v>
      </c>
      <c r="AS161" s="1">
        <v>41394</v>
      </c>
      <c r="AT161" s="2">
        <v>6154.64</v>
      </c>
      <c r="AU161" s="1">
        <v>41394</v>
      </c>
      <c r="AV161" s="2">
        <v>2896.43</v>
      </c>
      <c r="AW161" s="1">
        <v>42853</v>
      </c>
      <c r="AX161" s="2">
        <v>4420.59</v>
      </c>
      <c r="AY161" s="2">
        <v>42794</v>
      </c>
      <c r="AZ161" s="2">
        <v>128.56</v>
      </c>
      <c r="BC161" s="1">
        <v>41394</v>
      </c>
      <c r="BD161" s="2">
        <v>1.25</v>
      </c>
      <c r="BE161" s="1">
        <v>41394</v>
      </c>
      <c r="BF161" s="2">
        <v>99.415999999999997</v>
      </c>
      <c r="BG161" s="1">
        <v>41394</v>
      </c>
      <c r="BH161" s="2">
        <v>162.101</v>
      </c>
      <c r="BI161" s="1">
        <v>41394</v>
      </c>
      <c r="BJ161" s="2">
        <v>219.86500000000001</v>
      </c>
      <c r="BK161" s="1">
        <v>41394</v>
      </c>
      <c r="BL161" s="2">
        <v>927.93730000000005</v>
      </c>
      <c r="BM161" s="1">
        <v>42916</v>
      </c>
      <c r="BN161" s="2">
        <v>2469.8139999999999</v>
      </c>
      <c r="BO161" s="1">
        <v>43007</v>
      </c>
      <c r="BP161" s="2">
        <v>353.17</v>
      </c>
    </row>
    <row r="162" spans="1:68" x14ac:dyDescent="0.25">
      <c r="A162" s="1">
        <v>41425</v>
      </c>
      <c r="B162" s="2">
        <v>2297.422</v>
      </c>
      <c r="C162" s="1">
        <v>41425</v>
      </c>
      <c r="D162" s="2">
        <v>246.45820000000001</v>
      </c>
      <c r="E162" s="1">
        <v>41425</v>
      </c>
      <c r="F162" s="2">
        <v>226.48099999999999</v>
      </c>
      <c r="G162" s="1">
        <v>41425</v>
      </c>
      <c r="H162" s="2">
        <v>273.68299999999999</v>
      </c>
      <c r="I162" s="1">
        <v>41453</v>
      </c>
      <c r="J162" s="2">
        <v>138.8212</v>
      </c>
      <c r="K162" s="1">
        <v>41425</v>
      </c>
      <c r="L162" s="2">
        <v>153.5985</v>
      </c>
      <c r="M162" s="1">
        <v>41425</v>
      </c>
      <c r="N162" s="2">
        <v>138.6867</v>
      </c>
      <c r="O162" s="1">
        <v>41453</v>
      </c>
      <c r="P162" s="2">
        <v>124.5872</v>
      </c>
      <c r="Q162" s="1">
        <v>41425</v>
      </c>
      <c r="R162" s="2">
        <v>159.10310000000001</v>
      </c>
      <c r="S162" s="1">
        <v>41425</v>
      </c>
      <c r="T162" s="2">
        <v>443.63409999999999</v>
      </c>
      <c r="U162" s="1">
        <v>41425</v>
      </c>
      <c r="V162" s="2">
        <v>310.74959999999999</v>
      </c>
      <c r="W162" s="1">
        <v>41425</v>
      </c>
      <c r="X162" s="2">
        <v>1863.03</v>
      </c>
      <c r="Y162" s="1">
        <v>41425</v>
      </c>
      <c r="Z162" s="2">
        <v>183.09399999999999</v>
      </c>
      <c r="AA162" s="1">
        <v>41789</v>
      </c>
      <c r="AB162" s="2">
        <v>379.7998</v>
      </c>
      <c r="AC162" s="1">
        <v>41425</v>
      </c>
      <c r="AD162" s="2">
        <v>306.64409999999998</v>
      </c>
      <c r="AE162" s="1">
        <v>41789</v>
      </c>
      <c r="AF162" s="2">
        <v>249.39699999999999</v>
      </c>
      <c r="AG162" s="1">
        <v>41789</v>
      </c>
      <c r="AH162" s="2">
        <v>361.3818</v>
      </c>
      <c r="AI162" s="1">
        <v>41789</v>
      </c>
      <c r="AJ162" s="2">
        <v>408.46510000000001</v>
      </c>
      <c r="AK162" s="1">
        <v>41425</v>
      </c>
      <c r="AL162" s="2">
        <v>3800.78</v>
      </c>
      <c r="AM162" s="1">
        <v>41425</v>
      </c>
      <c r="AN162" s="2">
        <v>1216.33</v>
      </c>
      <c r="AO162" s="1">
        <v>41425</v>
      </c>
      <c r="AP162" s="2">
        <v>2109.96</v>
      </c>
      <c r="AQ162" s="1">
        <v>41425</v>
      </c>
      <c r="AR162" s="2">
        <v>1213.93</v>
      </c>
      <c r="AS162" s="1">
        <v>41425</v>
      </c>
      <c r="AT162" s="2">
        <v>6160.06</v>
      </c>
      <c r="AU162" s="1">
        <v>41425</v>
      </c>
      <c r="AV162" s="2">
        <v>2902.42</v>
      </c>
      <c r="AW162" s="1">
        <v>42886</v>
      </c>
      <c r="AX162" s="2">
        <v>4453.7</v>
      </c>
      <c r="AY162" s="2">
        <v>42825</v>
      </c>
      <c r="AZ162" s="2">
        <v>129.63999999999999</v>
      </c>
      <c r="BC162" s="1">
        <v>41425</v>
      </c>
      <c r="BD162" s="2">
        <v>1.25</v>
      </c>
      <c r="BE162" s="1">
        <v>41425</v>
      </c>
      <c r="BF162" s="2">
        <v>110.798</v>
      </c>
      <c r="BG162" s="1">
        <v>41425</v>
      </c>
      <c r="BH162" s="2">
        <v>209.77600000000001</v>
      </c>
      <c r="BI162" s="1">
        <v>41425</v>
      </c>
      <c r="BJ162" s="2">
        <v>225.97900000000001</v>
      </c>
      <c r="BK162" s="1">
        <v>41425</v>
      </c>
      <c r="BL162" s="2">
        <v>896.04160000000002</v>
      </c>
      <c r="BM162" s="1">
        <v>42947</v>
      </c>
      <c r="BN162" s="2">
        <v>2525.424</v>
      </c>
      <c r="BO162" s="1">
        <v>43039</v>
      </c>
      <c r="BP162" s="2">
        <v>358.5</v>
      </c>
    </row>
    <row r="163" spans="1:68" x14ac:dyDescent="0.25">
      <c r="A163" s="1">
        <v>41453</v>
      </c>
      <c r="B163" s="2">
        <v>2231.511</v>
      </c>
      <c r="C163" s="1">
        <v>41453</v>
      </c>
      <c r="D163" s="2">
        <v>241.07329999999999</v>
      </c>
      <c r="E163" s="1">
        <v>41453</v>
      </c>
      <c r="F163" s="2">
        <v>219.72800000000001</v>
      </c>
      <c r="G163" s="1">
        <v>41453</v>
      </c>
      <c r="H163" s="2">
        <v>269.93889999999999</v>
      </c>
      <c r="I163" s="1">
        <v>41486</v>
      </c>
      <c r="J163" s="2">
        <v>138.81530000000001</v>
      </c>
      <c r="K163" s="1">
        <v>41453</v>
      </c>
      <c r="L163" s="2">
        <v>150.03319999999999</v>
      </c>
      <c r="M163" s="1">
        <v>41453</v>
      </c>
      <c r="N163" s="2">
        <v>140.12309999999999</v>
      </c>
      <c r="O163" s="1">
        <v>41486</v>
      </c>
      <c r="P163" s="2">
        <v>124.19670000000001</v>
      </c>
      <c r="Q163" s="1">
        <v>41453</v>
      </c>
      <c r="R163" s="2">
        <v>158.95590000000001</v>
      </c>
      <c r="S163" s="1">
        <v>41453</v>
      </c>
      <c r="T163" s="2">
        <v>437.45960000000002</v>
      </c>
      <c r="U163" s="1">
        <v>41453</v>
      </c>
      <c r="V163" s="2">
        <v>298.71129999999999</v>
      </c>
      <c r="W163" s="1">
        <v>41453</v>
      </c>
      <c r="X163" s="2">
        <v>1845.11</v>
      </c>
      <c r="Y163" s="1">
        <v>41453</v>
      </c>
      <c r="Z163" s="2">
        <v>212.63900000000001</v>
      </c>
      <c r="AA163" s="1">
        <v>41820</v>
      </c>
      <c r="AB163" s="2">
        <v>385.41750000000002</v>
      </c>
      <c r="AC163" s="1">
        <v>41453</v>
      </c>
      <c r="AD163" s="2">
        <v>291.3811</v>
      </c>
      <c r="AE163" s="1">
        <v>41820</v>
      </c>
      <c r="AF163" s="2">
        <v>241.4665</v>
      </c>
      <c r="AG163" s="1">
        <v>41820</v>
      </c>
      <c r="AH163" s="2">
        <v>373.85449999999997</v>
      </c>
      <c r="AI163" s="1">
        <v>41820</v>
      </c>
      <c r="AJ163" s="2">
        <v>439.98020000000002</v>
      </c>
      <c r="AK163" s="1">
        <v>41453</v>
      </c>
      <c r="AL163" s="2">
        <v>3707.13</v>
      </c>
      <c r="AM163" s="1">
        <v>41453</v>
      </c>
      <c r="AN163" s="2">
        <v>1183.1099999999999</v>
      </c>
      <c r="AO163" s="1">
        <v>41453</v>
      </c>
      <c r="AP163" s="2">
        <v>2099.04</v>
      </c>
      <c r="AQ163" s="1">
        <v>41453</v>
      </c>
      <c r="AR163" s="2">
        <v>1219.75</v>
      </c>
      <c r="AS163" s="1">
        <v>41453</v>
      </c>
      <c r="AT163" s="2">
        <v>6012.51</v>
      </c>
      <c r="AU163" s="1">
        <v>41453</v>
      </c>
      <c r="AV163" s="2">
        <v>2822.7</v>
      </c>
      <c r="AW163" s="1">
        <v>42916</v>
      </c>
      <c r="AX163" s="2">
        <v>4360.96</v>
      </c>
      <c r="AY163" s="2">
        <v>42853</v>
      </c>
      <c r="AZ163" s="2">
        <v>135.22</v>
      </c>
      <c r="BC163" s="1">
        <v>41453</v>
      </c>
      <c r="BD163" s="2">
        <v>1.44</v>
      </c>
      <c r="BE163" s="1">
        <v>41453</v>
      </c>
      <c r="BF163" s="2">
        <v>108.956</v>
      </c>
      <c r="BG163" s="1">
        <v>41453</v>
      </c>
      <c r="BH163" s="2">
        <v>245.018</v>
      </c>
      <c r="BI163" s="1">
        <v>41453</v>
      </c>
      <c r="BJ163" s="2">
        <v>210.33099999999999</v>
      </c>
      <c r="BK163" s="1">
        <v>41453</v>
      </c>
      <c r="BL163" s="2">
        <v>890.85</v>
      </c>
      <c r="BM163" s="1">
        <v>42978</v>
      </c>
      <c r="BN163" s="2">
        <v>2504.7809999999999</v>
      </c>
      <c r="BO163" s="1">
        <v>43069</v>
      </c>
      <c r="BP163" s="2">
        <v>354.65</v>
      </c>
    </row>
    <row r="164" spans="1:68" x14ac:dyDescent="0.25">
      <c r="A164" s="1">
        <v>41486</v>
      </c>
      <c r="B164" s="2">
        <v>2213.9580000000001</v>
      </c>
      <c r="C164" s="1">
        <v>41486</v>
      </c>
      <c r="D164" s="2">
        <v>238.28550000000001</v>
      </c>
      <c r="E164" s="1">
        <v>41486</v>
      </c>
      <c r="F164" s="2">
        <v>218.54599999999999</v>
      </c>
      <c r="G164" s="1">
        <v>41486</v>
      </c>
      <c r="H164" s="2">
        <v>270.31270000000001</v>
      </c>
      <c r="I164" s="1">
        <v>41516</v>
      </c>
      <c r="J164" s="2">
        <v>138.52670000000001</v>
      </c>
      <c r="K164" s="1">
        <v>41486</v>
      </c>
      <c r="L164" s="2">
        <v>151.88140000000001</v>
      </c>
      <c r="M164" s="1">
        <v>41486</v>
      </c>
      <c r="N164" s="2">
        <v>139.26300000000001</v>
      </c>
      <c r="O164" s="1">
        <v>41516</v>
      </c>
      <c r="P164" s="2">
        <v>123.0694</v>
      </c>
      <c r="Q164" s="1">
        <v>41486</v>
      </c>
      <c r="R164" s="2">
        <v>158.5771</v>
      </c>
      <c r="S164" s="1">
        <v>41486</v>
      </c>
      <c r="T164" s="2">
        <v>439.19229999999999</v>
      </c>
      <c r="U164" s="1">
        <v>41486</v>
      </c>
      <c r="V164" s="2">
        <v>303.0761</v>
      </c>
      <c r="W164" s="1">
        <v>41486</v>
      </c>
      <c r="X164" s="2">
        <v>1843.45</v>
      </c>
      <c r="Y164" s="1">
        <v>41486</v>
      </c>
      <c r="Z164" s="2">
        <v>226.34100000000001</v>
      </c>
      <c r="AA164" s="1">
        <v>41851</v>
      </c>
      <c r="AB164" s="2">
        <v>371.34120000000001</v>
      </c>
      <c r="AC164" s="1">
        <v>41486</v>
      </c>
      <c r="AD164" s="2">
        <v>294.8451</v>
      </c>
      <c r="AE164" s="1">
        <v>41851</v>
      </c>
      <c r="AF164" s="2">
        <v>228.0642</v>
      </c>
      <c r="AG164" s="1">
        <v>41851</v>
      </c>
      <c r="AH164" s="2">
        <v>355.67590000000001</v>
      </c>
      <c r="AI164" s="1">
        <v>41851</v>
      </c>
      <c r="AJ164" s="2">
        <v>426.72719999999998</v>
      </c>
      <c r="AK164" s="1">
        <v>41486</v>
      </c>
      <c r="AL164" s="2">
        <v>3902.29</v>
      </c>
      <c r="AM164" s="1">
        <v>41486</v>
      </c>
      <c r="AN164" s="2">
        <v>1236.18</v>
      </c>
      <c r="AO164" s="1">
        <v>41486</v>
      </c>
      <c r="AP164" s="2">
        <v>2165.83</v>
      </c>
      <c r="AQ164" s="1">
        <v>41486</v>
      </c>
      <c r="AR164" s="2">
        <v>1260.17</v>
      </c>
      <c r="AS164" s="1">
        <v>41486</v>
      </c>
      <c r="AT164" s="2">
        <v>6323.75</v>
      </c>
      <c r="AU164" s="1">
        <v>41486</v>
      </c>
      <c r="AV164" s="2">
        <v>2973.79</v>
      </c>
      <c r="AW164" s="1">
        <v>42947</v>
      </c>
      <c r="AX164" s="2">
        <v>4453.99</v>
      </c>
      <c r="AY164" s="2">
        <v>42886</v>
      </c>
      <c r="AZ164" s="2">
        <v>136.27000000000001</v>
      </c>
      <c r="BC164" s="1">
        <v>41486</v>
      </c>
      <c r="BD164" s="2">
        <v>1.32</v>
      </c>
      <c r="BE164" s="1">
        <v>41486</v>
      </c>
      <c r="BF164" s="2">
        <v>119.637</v>
      </c>
      <c r="BG164" s="1">
        <v>41486</v>
      </c>
      <c r="BH164" s="2">
        <v>253.56800000000001</v>
      </c>
      <c r="BI164" s="1">
        <v>41486</v>
      </c>
      <c r="BJ164" s="2">
        <v>225.53899999999999</v>
      </c>
      <c r="BK164" s="1">
        <v>41486</v>
      </c>
      <c r="BL164" s="2">
        <v>902.83309999999994</v>
      </c>
      <c r="BM164" s="1">
        <v>43007</v>
      </c>
      <c r="BN164" s="2">
        <v>2538.8890000000001</v>
      </c>
      <c r="BO164" s="1">
        <v>43098</v>
      </c>
      <c r="BP164" s="2">
        <v>364.4</v>
      </c>
    </row>
    <row r="165" spans="1:68" x14ac:dyDescent="0.25">
      <c r="A165" s="1">
        <v>41516</v>
      </c>
      <c r="B165" s="2">
        <v>2157.9879999999998</v>
      </c>
      <c r="C165" s="1">
        <v>41516</v>
      </c>
      <c r="D165" s="2">
        <v>231.42019999999999</v>
      </c>
      <c r="E165" s="1">
        <v>41516</v>
      </c>
      <c r="F165" s="2">
        <v>214.74600000000001</v>
      </c>
      <c r="G165" s="1">
        <v>41516</v>
      </c>
      <c r="H165" s="2">
        <v>259.47840000000002</v>
      </c>
      <c r="I165" s="1">
        <v>41547</v>
      </c>
      <c r="J165" s="2">
        <v>137.92840000000001</v>
      </c>
      <c r="K165" s="1">
        <v>41516</v>
      </c>
      <c r="L165" s="2">
        <v>150.69479999999999</v>
      </c>
      <c r="M165" s="1">
        <v>41516</v>
      </c>
      <c r="N165" s="2">
        <v>139.79560000000001</v>
      </c>
      <c r="O165" s="1">
        <v>41547</v>
      </c>
      <c r="P165" s="2">
        <v>122.8416</v>
      </c>
      <c r="Q165" s="1">
        <v>41516</v>
      </c>
      <c r="R165" s="2">
        <v>159.70480000000001</v>
      </c>
      <c r="S165" s="1">
        <v>41516</v>
      </c>
      <c r="T165" s="2">
        <v>437.52480000000003</v>
      </c>
      <c r="U165" s="1">
        <v>41516</v>
      </c>
      <c r="V165" s="2">
        <v>301.03969999999998</v>
      </c>
      <c r="W165" s="1">
        <v>41516</v>
      </c>
      <c r="X165" s="2">
        <v>1838.18</v>
      </c>
      <c r="Y165" s="1">
        <v>41516</v>
      </c>
      <c r="Z165" s="2">
        <v>238.13200000000001</v>
      </c>
      <c r="AA165" s="1">
        <v>41880</v>
      </c>
      <c r="AB165" s="2">
        <v>366.60469999999998</v>
      </c>
      <c r="AC165" s="1">
        <v>41516</v>
      </c>
      <c r="AD165" s="2">
        <v>304.35250000000002</v>
      </c>
      <c r="AE165" s="1">
        <v>41880</v>
      </c>
      <c r="AF165" s="2">
        <v>223.68049999999999</v>
      </c>
      <c r="AG165" s="1">
        <v>41880</v>
      </c>
      <c r="AH165" s="2">
        <v>349.69130000000001</v>
      </c>
      <c r="AI165" s="1">
        <v>41880</v>
      </c>
      <c r="AJ165" s="2">
        <v>422.47460000000001</v>
      </c>
      <c r="AK165" s="1">
        <v>41516</v>
      </c>
      <c r="AL165" s="2">
        <v>3819.23</v>
      </c>
      <c r="AM165" s="1">
        <v>41516</v>
      </c>
      <c r="AN165" s="2">
        <v>1213.3800000000001</v>
      </c>
      <c r="AO165" s="1">
        <v>41516</v>
      </c>
      <c r="AP165" s="2">
        <v>2106.59</v>
      </c>
      <c r="AQ165" s="1">
        <v>41516</v>
      </c>
      <c r="AR165" s="2">
        <v>1223.44</v>
      </c>
      <c r="AS165" s="1">
        <v>41516</v>
      </c>
      <c r="AT165" s="2">
        <v>6158.04</v>
      </c>
      <c r="AU165" s="1">
        <v>41516</v>
      </c>
      <c r="AV165" s="2">
        <v>2925.18</v>
      </c>
      <c r="AW165" s="1">
        <v>42978</v>
      </c>
      <c r="AX165" s="2">
        <v>4522.2</v>
      </c>
      <c r="AY165" s="2">
        <v>42916</v>
      </c>
      <c r="AZ165" s="2">
        <v>137.9</v>
      </c>
      <c r="BC165" s="1">
        <v>41516</v>
      </c>
      <c r="BD165" s="2">
        <v>1.35</v>
      </c>
      <c r="BE165" s="1">
        <v>41516</v>
      </c>
      <c r="BF165" s="2">
        <v>114.155</v>
      </c>
      <c r="BG165" s="1">
        <v>41516</v>
      </c>
      <c r="BH165" s="2">
        <v>275.85700000000003</v>
      </c>
      <c r="BI165" s="1">
        <v>41516</v>
      </c>
      <c r="BJ165" s="2">
        <v>205.72499999999999</v>
      </c>
      <c r="BK165" s="1">
        <v>41516</v>
      </c>
      <c r="BL165" s="2">
        <v>898.80809999999997</v>
      </c>
      <c r="BM165" s="1">
        <v>43039</v>
      </c>
      <c r="BN165" s="2">
        <v>2608.8339999999998</v>
      </c>
      <c r="BO165" s="1">
        <v>43131</v>
      </c>
      <c r="BP165" s="2">
        <v>355.41</v>
      </c>
    </row>
    <row r="166" spans="1:68" x14ac:dyDescent="0.25">
      <c r="A166" s="1">
        <v>41547</v>
      </c>
      <c r="B166" s="2">
        <v>2145.154</v>
      </c>
      <c r="C166" s="1">
        <v>41547</v>
      </c>
      <c r="D166" s="2">
        <v>236.32310000000001</v>
      </c>
      <c r="E166" s="1">
        <v>41547</v>
      </c>
      <c r="F166" s="2">
        <v>221.005</v>
      </c>
      <c r="G166" s="1">
        <v>41547</v>
      </c>
      <c r="H166" s="2">
        <v>268.19209999999998</v>
      </c>
      <c r="I166" s="1">
        <v>41578</v>
      </c>
      <c r="J166" s="2">
        <v>138.75980000000001</v>
      </c>
      <c r="K166" s="1">
        <v>41547</v>
      </c>
      <c r="L166" s="2">
        <v>153.26349999999999</v>
      </c>
      <c r="M166" s="1">
        <v>41547</v>
      </c>
      <c r="N166" s="2">
        <v>137.9272</v>
      </c>
      <c r="O166" s="1">
        <v>41578</v>
      </c>
      <c r="P166" s="2">
        <v>122.6455</v>
      </c>
      <c r="Q166" s="1">
        <v>41547</v>
      </c>
      <c r="R166" s="2">
        <v>156.71950000000001</v>
      </c>
      <c r="S166" s="1">
        <v>41547</v>
      </c>
      <c r="T166" s="2">
        <v>441.07580000000002</v>
      </c>
      <c r="U166" s="1">
        <v>41547</v>
      </c>
      <c r="V166" s="2">
        <v>310.08269999999999</v>
      </c>
      <c r="W166" s="1">
        <v>41547</v>
      </c>
      <c r="X166" s="2">
        <v>1864.06</v>
      </c>
      <c r="Y166" s="1">
        <v>41547</v>
      </c>
      <c r="Z166" s="2">
        <v>228.92699999999999</v>
      </c>
      <c r="AA166" s="1">
        <v>41912</v>
      </c>
      <c r="AB166" s="2">
        <v>341.44450000000001</v>
      </c>
      <c r="AC166" s="1">
        <v>41547</v>
      </c>
      <c r="AD166" s="2">
        <v>298.17399999999998</v>
      </c>
      <c r="AE166" s="1">
        <v>41912</v>
      </c>
      <c r="AF166" s="2">
        <v>208.66370000000001</v>
      </c>
      <c r="AG166" s="1">
        <v>41912</v>
      </c>
      <c r="AH166" s="2">
        <v>327.50259999999997</v>
      </c>
      <c r="AI166" s="1">
        <v>41912</v>
      </c>
      <c r="AJ166" s="2">
        <v>390.46620000000001</v>
      </c>
      <c r="AK166" s="1">
        <v>41547</v>
      </c>
      <c r="AL166" s="2">
        <v>4010.25</v>
      </c>
      <c r="AM166" s="1">
        <v>41547</v>
      </c>
      <c r="AN166" s="2">
        <v>1259.8</v>
      </c>
      <c r="AO166" s="1">
        <v>41547</v>
      </c>
      <c r="AP166" s="2">
        <v>2175.38</v>
      </c>
      <c r="AQ166" s="1">
        <v>41547</v>
      </c>
      <c r="AR166" s="2">
        <v>1298.06</v>
      </c>
      <c r="AS166" s="1">
        <v>41547</v>
      </c>
      <c r="AT166" s="2">
        <v>6442.37</v>
      </c>
      <c r="AU166" s="1">
        <v>41547</v>
      </c>
      <c r="AV166" s="2">
        <v>3082.65</v>
      </c>
      <c r="AW166" s="1">
        <v>43007</v>
      </c>
      <c r="AX166" s="2">
        <v>4520.3</v>
      </c>
      <c r="AY166" s="2">
        <v>42947</v>
      </c>
      <c r="AZ166" s="2">
        <v>141.63999999999999</v>
      </c>
      <c r="BC166" s="1">
        <v>41547</v>
      </c>
      <c r="BD166" s="2">
        <v>1.35</v>
      </c>
      <c r="BE166" s="1">
        <v>41547</v>
      </c>
      <c r="BF166" s="2">
        <v>122.685</v>
      </c>
      <c r="BG166" s="1">
        <v>41547</v>
      </c>
      <c r="BH166" s="2">
        <v>259.983</v>
      </c>
      <c r="BI166" s="1">
        <v>41547</v>
      </c>
      <c r="BJ166" s="2">
        <v>230.154</v>
      </c>
      <c r="BK166" s="1">
        <v>41547</v>
      </c>
      <c r="BL166" s="2">
        <v>916.54660000000001</v>
      </c>
      <c r="BM166" s="1">
        <v>43069</v>
      </c>
      <c r="BN166" s="2">
        <v>2667.4749999999999</v>
      </c>
      <c r="BO166" s="1">
        <v>43159</v>
      </c>
      <c r="BP166" s="2">
        <v>328.62</v>
      </c>
    </row>
    <row r="167" spans="1:68" x14ac:dyDescent="0.25">
      <c r="A167" s="1">
        <v>41578</v>
      </c>
      <c r="B167" s="2">
        <v>2199.8159999999998</v>
      </c>
      <c r="C167" s="1">
        <v>41578</v>
      </c>
      <c r="D167" s="2">
        <v>239.3236</v>
      </c>
      <c r="E167" s="1">
        <v>41578</v>
      </c>
      <c r="F167" s="2">
        <v>222.28700000000001</v>
      </c>
      <c r="G167" s="1">
        <v>41578</v>
      </c>
      <c r="H167" s="2">
        <v>272.1268</v>
      </c>
      <c r="I167" s="1">
        <v>41607</v>
      </c>
      <c r="J167" s="2">
        <v>139.17330000000001</v>
      </c>
      <c r="K167" s="1">
        <v>41578</v>
      </c>
      <c r="L167" s="2">
        <v>157.74299999999999</v>
      </c>
      <c r="M167" s="1">
        <v>41578</v>
      </c>
      <c r="N167" s="2">
        <v>138.67679999999999</v>
      </c>
      <c r="O167" s="1">
        <v>41607</v>
      </c>
      <c r="P167" s="2">
        <v>122.73690000000001</v>
      </c>
      <c r="Q167" s="1">
        <v>41578</v>
      </c>
      <c r="R167" s="2">
        <v>156.05430000000001</v>
      </c>
      <c r="S167" s="1">
        <v>41578</v>
      </c>
      <c r="T167" s="2">
        <v>445.03919999999999</v>
      </c>
      <c r="U167" s="1">
        <v>41578</v>
      </c>
      <c r="V167" s="2">
        <v>312.94069999999999</v>
      </c>
      <c r="W167" s="1">
        <v>41578</v>
      </c>
      <c r="X167" s="2">
        <v>1876.76</v>
      </c>
      <c r="Y167" s="1">
        <v>41578</v>
      </c>
      <c r="Z167" s="2">
        <v>224.53</v>
      </c>
      <c r="AA167" s="1">
        <v>41943</v>
      </c>
      <c r="AB167" s="2">
        <v>339.3519</v>
      </c>
      <c r="AC167" s="1">
        <v>41578</v>
      </c>
      <c r="AD167" s="2">
        <v>294.7715</v>
      </c>
      <c r="AE167" s="1">
        <v>41943</v>
      </c>
      <c r="AF167" s="2">
        <v>223.79310000000001</v>
      </c>
      <c r="AG167" s="1">
        <v>41943</v>
      </c>
      <c r="AH167" s="2">
        <v>298.08100000000002</v>
      </c>
      <c r="AI167" s="1">
        <v>41943</v>
      </c>
      <c r="AJ167" s="2">
        <v>375.54219999999998</v>
      </c>
      <c r="AK167" s="1">
        <v>41578</v>
      </c>
      <c r="AL167" s="2">
        <v>4167.22</v>
      </c>
      <c r="AM167" s="1">
        <v>41578</v>
      </c>
      <c r="AN167" s="2">
        <v>1314.3</v>
      </c>
      <c r="AO167" s="1">
        <v>41578</v>
      </c>
      <c r="AP167" s="2">
        <v>2253.7600000000002</v>
      </c>
      <c r="AQ167" s="1">
        <v>41578</v>
      </c>
      <c r="AR167" s="2">
        <v>1336.3</v>
      </c>
      <c r="AS167" s="1">
        <v>41578</v>
      </c>
      <c r="AT167" s="2">
        <v>6724.25</v>
      </c>
      <c r="AU167" s="1">
        <v>41578</v>
      </c>
      <c r="AV167" s="2">
        <v>3189.29</v>
      </c>
      <c r="AW167" s="1">
        <v>43039</v>
      </c>
      <c r="AX167" s="2">
        <v>4647.46</v>
      </c>
      <c r="AY167" s="2">
        <v>42978</v>
      </c>
      <c r="AZ167" s="2">
        <v>138.91</v>
      </c>
      <c r="BC167" s="1">
        <v>41578</v>
      </c>
      <c r="BD167" s="2">
        <v>1.26</v>
      </c>
      <c r="BE167" s="1">
        <v>41578</v>
      </c>
      <c r="BF167" s="2">
        <v>122.315</v>
      </c>
      <c r="BG167" s="1">
        <v>41578</v>
      </c>
      <c r="BH167" s="2">
        <v>251.36500000000001</v>
      </c>
      <c r="BI167" s="1">
        <v>41578</v>
      </c>
      <c r="BJ167" s="2">
        <v>230.917</v>
      </c>
      <c r="BK167" s="1">
        <v>41578</v>
      </c>
      <c r="BL167" s="2">
        <v>925.42020000000002</v>
      </c>
      <c r="BM167" s="1">
        <v>43098</v>
      </c>
      <c r="BN167" s="2">
        <v>2703.4839999999999</v>
      </c>
      <c r="BO167" s="1">
        <v>43189</v>
      </c>
      <c r="BP167" s="2">
        <v>322.31</v>
      </c>
    </row>
    <row r="168" spans="1:68" x14ac:dyDescent="0.25">
      <c r="A168" s="1">
        <v>41607</v>
      </c>
      <c r="B168" s="2">
        <v>2259.2640000000001</v>
      </c>
      <c r="C168" s="1">
        <v>41607</v>
      </c>
      <c r="D168" s="2">
        <v>236.91229999999999</v>
      </c>
      <c r="E168" s="1">
        <v>41607</v>
      </c>
      <c r="F168" s="2">
        <v>219.62</v>
      </c>
      <c r="G168" s="1">
        <v>41607</v>
      </c>
      <c r="H168" s="2">
        <v>268.05250000000001</v>
      </c>
      <c r="I168" s="1">
        <v>41639</v>
      </c>
      <c r="J168" s="2">
        <v>139.3485</v>
      </c>
      <c r="K168" s="1">
        <v>41607</v>
      </c>
      <c r="L168" s="2">
        <v>159.07089999999999</v>
      </c>
      <c r="M168" s="1">
        <v>41607</v>
      </c>
      <c r="N168" s="2">
        <v>139.48390000000001</v>
      </c>
      <c r="O168" s="1">
        <v>41639</v>
      </c>
      <c r="P168" s="2">
        <v>122.7042</v>
      </c>
      <c r="Q168" s="1">
        <v>41607</v>
      </c>
      <c r="R168" s="2">
        <v>155.96420000000001</v>
      </c>
      <c r="S168" s="1">
        <v>41607</v>
      </c>
      <c r="T168" s="2">
        <v>444.42950000000002</v>
      </c>
      <c r="U168" s="1">
        <v>41607</v>
      </c>
      <c r="V168" s="2">
        <v>312.0718</v>
      </c>
      <c r="W168" s="1">
        <v>41607</v>
      </c>
      <c r="X168" s="2">
        <v>1865.08</v>
      </c>
      <c r="Y168" s="1">
        <v>41607</v>
      </c>
      <c r="Z168" s="2">
        <v>246.108</v>
      </c>
      <c r="AA168" s="1">
        <v>41971</v>
      </c>
      <c r="AB168" s="2">
        <v>325.02280000000002</v>
      </c>
      <c r="AC168" s="1">
        <v>41607</v>
      </c>
      <c r="AD168" s="2">
        <v>293.11849999999998</v>
      </c>
      <c r="AE168" s="1">
        <v>41971</v>
      </c>
      <c r="AF168" s="2">
        <v>222.3432</v>
      </c>
      <c r="AG168" s="1">
        <v>41971</v>
      </c>
      <c r="AH168" s="2">
        <v>253.95089999999999</v>
      </c>
      <c r="AI168" s="1">
        <v>41971</v>
      </c>
      <c r="AJ168" s="2">
        <v>372.99310000000003</v>
      </c>
      <c r="AK168" s="1">
        <v>41607</v>
      </c>
      <c r="AL168" s="2">
        <v>4241.28</v>
      </c>
      <c r="AM168" s="1">
        <v>41607</v>
      </c>
      <c r="AN168" s="2">
        <v>1355.89</v>
      </c>
      <c r="AO168" s="1">
        <v>41607</v>
      </c>
      <c r="AP168" s="2">
        <v>2253.17</v>
      </c>
      <c r="AQ168" s="1">
        <v>41607</v>
      </c>
      <c r="AR168" s="2">
        <v>1365.79</v>
      </c>
      <c r="AS168" s="1">
        <v>41607</v>
      </c>
      <c r="AT168" s="2">
        <v>6831.09</v>
      </c>
      <c r="AU168" s="1">
        <v>41607</v>
      </c>
      <c r="AV168" s="2">
        <v>3251.94</v>
      </c>
      <c r="AW168" s="1">
        <v>43069</v>
      </c>
      <c r="AX168" s="2">
        <v>4672.68</v>
      </c>
      <c r="AY168" s="2">
        <v>43007</v>
      </c>
      <c r="AZ168" s="2">
        <v>143.97</v>
      </c>
      <c r="BC168" s="1">
        <v>41607</v>
      </c>
      <c r="BD168" s="2">
        <v>1.2</v>
      </c>
      <c r="BE168" s="1">
        <v>41607</v>
      </c>
      <c r="BF168" s="2">
        <v>137.27199999999999</v>
      </c>
      <c r="BG168" s="1">
        <v>41607</v>
      </c>
      <c r="BH168" s="2">
        <v>268.36500000000001</v>
      </c>
      <c r="BI168" s="1">
        <v>41607</v>
      </c>
      <c r="BJ168" s="2">
        <v>244.20599999999999</v>
      </c>
      <c r="BK168" s="1">
        <v>41607</v>
      </c>
      <c r="BL168" s="2">
        <v>915.04089999999997</v>
      </c>
      <c r="BM168" s="1">
        <v>43131</v>
      </c>
      <c r="BN168" s="2">
        <v>2873.1570000000002</v>
      </c>
      <c r="BO168" s="1">
        <v>43220</v>
      </c>
      <c r="BP168" s="2">
        <v>330.43</v>
      </c>
    </row>
    <row r="169" spans="1:68" x14ac:dyDescent="0.25">
      <c r="A169" s="1">
        <v>41639</v>
      </c>
      <c r="B169" s="2">
        <v>2273.8609999999999</v>
      </c>
      <c r="C169" s="1">
        <v>41639</v>
      </c>
      <c r="D169" s="2">
        <v>235.8657</v>
      </c>
      <c r="E169" s="1">
        <v>41639</v>
      </c>
      <c r="F169" s="2">
        <v>219.90299999999999</v>
      </c>
      <c r="G169" s="1">
        <v>41639</v>
      </c>
      <c r="H169" s="2">
        <v>266.87950000000001</v>
      </c>
      <c r="I169" s="1">
        <v>41670</v>
      </c>
      <c r="J169" s="2">
        <v>139.23840000000001</v>
      </c>
      <c r="K169" s="1">
        <v>41639</v>
      </c>
      <c r="L169" s="2">
        <v>159.36259999999999</v>
      </c>
      <c r="M169" s="1">
        <v>41639</v>
      </c>
      <c r="N169" s="2">
        <v>138.5855</v>
      </c>
      <c r="O169" s="1">
        <v>41670</v>
      </c>
      <c r="P169" s="2">
        <v>122.7038</v>
      </c>
      <c r="Q169" s="1">
        <v>41639</v>
      </c>
      <c r="R169" s="2">
        <v>157.3184</v>
      </c>
      <c r="S169" s="1">
        <v>41639</v>
      </c>
      <c r="T169" s="2">
        <v>442.02809999999999</v>
      </c>
      <c r="U169" s="1">
        <v>41639</v>
      </c>
      <c r="V169" s="2">
        <v>309.7561</v>
      </c>
      <c r="W169" s="1">
        <v>41639</v>
      </c>
      <c r="X169" s="2">
        <v>1856.28</v>
      </c>
      <c r="Y169" s="1">
        <v>41639</v>
      </c>
      <c r="Z169" s="2">
        <v>264.43400000000003</v>
      </c>
      <c r="AA169" s="1">
        <v>42004</v>
      </c>
      <c r="AB169" s="2">
        <v>307.34089999999998</v>
      </c>
      <c r="AC169" s="1">
        <v>41639</v>
      </c>
      <c r="AD169" s="2">
        <v>296.02390000000003</v>
      </c>
      <c r="AE169" s="1">
        <v>42004</v>
      </c>
      <c r="AF169" s="2">
        <v>217.7431</v>
      </c>
      <c r="AG169" s="1">
        <v>42004</v>
      </c>
      <c r="AH169" s="2">
        <v>208.65889999999999</v>
      </c>
      <c r="AI169" s="1">
        <v>42004</v>
      </c>
      <c r="AJ169" s="2">
        <v>375.43389999999999</v>
      </c>
      <c r="AK169" s="1">
        <v>41639</v>
      </c>
      <c r="AL169" s="2">
        <v>4331.0200000000004</v>
      </c>
      <c r="AM169" s="1">
        <v>41639</v>
      </c>
      <c r="AN169" s="2">
        <v>1387.27</v>
      </c>
      <c r="AO169" s="1">
        <v>41639</v>
      </c>
      <c r="AP169" s="2">
        <v>2264.2600000000002</v>
      </c>
      <c r="AQ169" s="1">
        <v>41639</v>
      </c>
      <c r="AR169" s="2">
        <v>1404.65</v>
      </c>
      <c r="AS169" s="1">
        <v>41639</v>
      </c>
      <c r="AT169" s="2">
        <v>6958.66</v>
      </c>
      <c r="AU169" s="1">
        <v>41639</v>
      </c>
      <c r="AV169" s="2">
        <v>3328.79</v>
      </c>
      <c r="AW169" s="1">
        <v>43098</v>
      </c>
      <c r="AX169" s="2">
        <v>4719.07</v>
      </c>
      <c r="AY169" s="2">
        <v>43039</v>
      </c>
      <c r="AZ169" s="2">
        <v>143.33000000000001</v>
      </c>
      <c r="BC169" s="1">
        <v>41639</v>
      </c>
      <c r="BD169" s="2">
        <v>1.1100000000000001</v>
      </c>
      <c r="BE169" s="1">
        <v>41639</v>
      </c>
      <c r="BF169" s="2">
        <v>128.37899999999999</v>
      </c>
      <c r="BG169" s="1">
        <v>41639</v>
      </c>
      <c r="BH169" s="2">
        <v>295.71800000000002</v>
      </c>
      <c r="BI169" s="1">
        <v>41639</v>
      </c>
      <c r="BJ169" s="2">
        <v>222.518</v>
      </c>
      <c r="BK169" s="1">
        <v>41639</v>
      </c>
      <c r="BL169" s="2">
        <v>906.57500000000005</v>
      </c>
      <c r="BM169" s="1">
        <v>43159</v>
      </c>
      <c r="BN169" s="2">
        <v>2780.1590000000001</v>
      </c>
      <c r="BO169" s="1">
        <v>43251</v>
      </c>
      <c r="BP169" s="2">
        <v>338.2</v>
      </c>
    </row>
    <row r="170" spans="1:68" x14ac:dyDescent="0.25">
      <c r="A170" s="1">
        <v>41670</v>
      </c>
      <c r="B170" s="2">
        <v>2171.3519999999999</v>
      </c>
      <c r="C170" s="1">
        <v>41670</v>
      </c>
      <c r="D170" s="2">
        <v>232.6438</v>
      </c>
      <c r="E170" s="1">
        <v>41670</v>
      </c>
      <c r="F170" s="2">
        <v>215.34299999999999</v>
      </c>
      <c r="G170" s="1">
        <v>41670</v>
      </c>
      <c r="H170" s="2">
        <v>259.2407</v>
      </c>
      <c r="I170" s="1">
        <v>41698</v>
      </c>
      <c r="J170" s="2">
        <v>139.59979999999999</v>
      </c>
      <c r="K170" s="1">
        <v>41670</v>
      </c>
      <c r="L170" s="2">
        <v>157.1635</v>
      </c>
      <c r="M170" s="1">
        <v>41670</v>
      </c>
      <c r="N170" s="2">
        <v>138.81309999999999</v>
      </c>
      <c r="O170" s="1">
        <v>41698</v>
      </c>
      <c r="P170" s="2">
        <v>122.07899999999999</v>
      </c>
      <c r="Q170" s="1">
        <v>41670</v>
      </c>
      <c r="R170" s="2">
        <v>158.59569999999999</v>
      </c>
      <c r="S170" s="1">
        <v>41670</v>
      </c>
      <c r="T170" s="2">
        <v>448.37759999999997</v>
      </c>
      <c r="U170" s="1">
        <v>41670</v>
      </c>
      <c r="V170" s="2">
        <v>312.3793</v>
      </c>
      <c r="W170" s="1">
        <v>41670</v>
      </c>
      <c r="X170" s="2">
        <v>1885.3</v>
      </c>
      <c r="Y170" s="1">
        <v>41670</v>
      </c>
      <c r="Z170" s="2">
        <v>231.22900000000001</v>
      </c>
      <c r="AA170" s="1">
        <v>42034</v>
      </c>
      <c r="AB170" s="2">
        <v>299.82040000000001</v>
      </c>
      <c r="AC170" s="1">
        <v>41670</v>
      </c>
      <c r="AD170" s="2">
        <v>295.8734</v>
      </c>
      <c r="AE170" s="1">
        <v>42034</v>
      </c>
      <c r="AF170" s="2">
        <v>204.22049999999999</v>
      </c>
      <c r="AG170" s="1">
        <v>42034</v>
      </c>
      <c r="AH170" s="2">
        <v>193.04249999999999</v>
      </c>
      <c r="AI170" s="1">
        <v>42034</v>
      </c>
      <c r="AJ170" s="2">
        <v>407.43610000000001</v>
      </c>
      <c r="AK170" s="1">
        <v>41670</v>
      </c>
      <c r="AL170" s="2">
        <v>4170.6099999999997</v>
      </c>
      <c r="AM170" s="1">
        <v>41670</v>
      </c>
      <c r="AN170" s="2">
        <v>1327.2</v>
      </c>
      <c r="AO170" s="1">
        <v>41670</v>
      </c>
      <c r="AP170" s="2">
        <v>2202.2600000000002</v>
      </c>
      <c r="AQ170" s="1">
        <v>41670</v>
      </c>
      <c r="AR170" s="2">
        <v>1365.91</v>
      </c>
      <c r="AS170" s="1">
        <v>41670</v>
      </c>
      <c r="AT170" s="2">
        <v>6702.98</v>
      </c>
      <c r="AU170" s="1">
        <v>41670</v>
      </c>
      <c r="AV170" s="2">
        <v>3204.52</v>
      </c>
      <c r="AW170" s="1">
        <v>43131</v>
      </c>
      <c r="AX170" s="2">
        <v>4691.9399999999996</v>
      </c>
      <c r="AY170" s="2">
        <v>43069</v>
      </c>
      <c r="AZ170" s="2">
        <v>143.29</v>
      </c>
      <c r="BC170" s="1">
        <v>41670</v>
      </c>
      <c r="BD170" s="2">
        <v>1.1499999999999999</v>
      </c>
      <c r="BE170" s="1">
        <v>41670</v>
      </c>
      <c r="BF170" s="2">
        <v>115.212</v>
      </c>
      <c r="BG170" s="1">
        <v>41670</v>
      </c>
      <c r="BH170" s="2">
        <v>261.86099999999999</v>
      </c>
      <c r="BI170" s="1">
        <v>41670</v>
      </c>
      <c r="BJ170" s="2">
        <v>210.66800000000001</v>
      </c>
      <c r="BK170" s="1">
        <v>41670</v>
      </c>
      <c r="BL170" s="2">
        <v>918.47619999999995</v>
      </c>
      <c r="BM170" s="1">
        <v>43189</v>
      </c>
      <c r="BN170" s="2">
        <v>2719.5880000000002</v>
      </c>
      <c r="BO170" s="1">
        <v>43280</v>
      </c>
      <c r="BP170" s="2">
        <v>341.52</v>
      </c>
    </row>
    <row r="171" spans="1:68" x14ac:dyDescent="0.25">
      <c r="A171" s="1">
        <v>41698</v>
      </c>
      <c r="B171" s="2">
        <v>2185.3049999999998</v>
      </c>
      <c r="C171" s="1">
        <v>41698</v>
      </c>
      <c r="D171" s="2">
        <v>237.14769999999999</v>
      </c>
      <c r="E171" s="1">
        <v>41698</v>
      </c>
      <c r="F171" s="2">
        <v>219.55600000000001</v>
      </c>
      <c r="G171" s="1">
        <v>41698</v>
      </c>
      <c r="H171" s="2">
        <v>268.55869999999999</v>
      </c>
      <c r="I171" s="1">
        <v>41729</v>
      </c>
      <c r="J171" s="2">
        <v>139.5821</v>
      </c>
      <c r="K171" s="1">
        <v>41698</v>
      </c>
      <c r="L171" s="2">
        <v>160.18799999999999</v>
      </c>
      <c r="M171" s="1">
        <v>41698</v>
      </c>
      <c r="N171" s="2">
        <v>139.86879999999999</v>
      </c>
      <c r="O171" s="1">
        <v>41729</v>
      </c>
      <c r="P171" s="2">
        <v>121.77160000000001</v>
      </c>
      <c r="Q171" s="1">
        <v>41698</v>
      </c>
      <c r="R171" s="2">
        <v>157.9511</v>
      </c>
      <c r="S171" s="1">
        <v>41698</v>
      </c>
      <c r="T171" s="2">
        <v>450.58120000000002</v>
      </c>
      <c r="U171" s="1">
        <v>41698</v>
      </c>
      <c r="V171" s="2">
        <v>317.51900000000001</v>
      </c>
      <c r="W171" s="1">
        <v>41698</v>
      </c>
      <c r="X171" s="2">
        <v>1891.79</v>
      </c>
      <c r="Y171" s="1">
        <v>41698</v>
      </c>
      <c r="Z171" s="2">
        <v>232.66800000000001</v>
      </c>
      <c r="AA171" s="1">
        <v>42062</v>
      </c>
      <c r="AB171" s="2">
        <v>307.28179999999998</v>
      </c>
      <c r="AC171" s="1">
        <v>41698</v>
      </c>
      <c r="AD171" s="2">
        <v>313.60840000000002</v>
      </c>
      <c r="AE171" s="1">
        <v>42062</v>
      </c>
      <c r="AF171" s="2">
        <v>208.2611</v>
      </c>
      <c r="AG171" s="1">
        <v>42062</v>
      </c>
      <c r="AH171" s="2">
        <v>215.45650000000001</v>
      </c>
      <c r="AI171" s="1">
        <v>42062</v>
      </c>
      <c r="AJ171" s="2">
        <v>387.476</v>
      </c>
      <c r="AK171" s="1">
        <v>41698</v>
      </c>
      <c r="AL171" s="2">
        <v>4379.3900000000003</v>
      </c>
      <c r="AM171" s="1">
        <v>41698</v>
      </c>
      <c r="AN171" s="2">
        <v>1396.58</v>
      </c>
      <c r="AO171" s="1">
        <v>41698</v>
      </c>
      <c r="AP171" s="2">
        <v>2289.2199999999998</v>
      </c>
      <c r="AQ171" s="1">
        <v>41698</v>
      </c>
      <c r="AR171" s="2">
        <v>1444.05</v>
      </c>
      <c r="AS171" s="1">
        <v>41698</v>
      </c>
      <c r="AT171" s="2">
        <v>7013.64</v>
      </c>
      <c r="AU171" s="1">
        <v>41698</v>
      </c>
      <c r="AV171" s="2">
        <v>3376.71</v>
      </c>
      <c r="AW171" s="1">
        <v>43159</v>
      </c>
      <c r="AX171" s="2">
        <v>4584.72</v>
      </c>
      <c r="AY171" s="2">
        <v>43098</v>
      </c>
      <c r="AZ171" s="2">
        <v>145.15</v>
      </c>
      <c r="BC171" s="1">
        <v>41698</v>
      </c>
      <c r="BD171" s="2">
        <v>1.06</v>
      </c>
      <c r="BE171" s="1">
        <v>41698</v>
      </c>
      <c r="BF171" s="2">
        <v>114.431</v>
      </c>
      <c r="BG171" s="1">
        <v>41698</v>
      </c>
      <c r="BH171" s="2">
        <v>259.68599999999998</v>
      </c>
      <c r="BI171" s="1">
        <v>41698</v>
      </c>
      <c r="BJ171" s="2">
        <v>207.97900000000001</v>
      </c>
      <c r="BK171" s="1">
        <v>41698</v>
      </c>
      <c r="BL171" s="2">
        <v>931.60329999999999</v>
      </c>
      <c r="BM171" s="1">
        <v>43220</v>
      </c>
      <c r="BN171" s="2">
        <v>2745.9740000000002</v>
      </c>
      <c r="BO171" s="1">
        <v>43312</v>
      </c>
      <c r="BP171" s="2">
        <v>353.39</v>
      </c>
    </row>
    <row r="172" spans="1:68" x14ac:dyDescent="0.25">
      <c r="A172" s="1">
        <v>41729</v>
      </c>
      <c r="B172" s="2">
        <v>2139.87</v>
      </c>
      <c r="C172" s="1">
        <v>41729</v>
      </c>
      <c r="D172" s="2">
        <v>245.84569999999999</v>
      </c>
      <c r="E172" s="1">
        <v>41729</v>
      </c>
      <c r="F172" s="2">
        <v>226.32499999999999</v>
      </c>
      <c r="G172" s="1">
        <v>41729</v>
      </c>
      <c r="H172" s="2">
        <v>274.9753</v>
      </c>
      <c r="I172" s="1">
        <v>41759</v>
      </c>
      <c r="J172" s="2">
        <v>139.90729999999999</v>
      </c>
      <c r="K172" s="1">
        <v>41729</v>
      </c>
      <c r="L172" s="2">
        <v>160.3373</v>
      </c>
      <c r="M172" s="1">
        <v>41729</v>
      </c>
      <c r="N172" s="2">
        <v>140.75450000000001</v>
      </c>
      <c r="O172" s="1">
        <v>41759</v>
      </c>
      <c r="P172" s="2">
        <v>121.9353</v>
      </c>
      <c r="Q172" s="1">
        <v>41729</v>
      </c>
      <c r="R172" s="2">
        <v>157.55410000000001</v>
      </c>
      <c r="S172" s="1">
        <v>41729</v>
      </c>
      <c r="T172" s="2">
        <v>451.02420000000001</v>
      </c>
      <c r="U172" s="1">
        <v>41729</v>
      </c>
      <c r="V172" s="2">
        <v>318.387</v>
      </c>
      <c r="W172" s="1">
        <v>41729</v>
      </c>
      <c r="X172" s="2">
        <v>1885.71</v>
      </c>
      <c r="Y172" s="1">
        <v>41729</v>
      </c>
      <c r="Z172" s="2">
        <v>229.58600000000001</v>
      </c>
      <c r="AA172" s="1">
        <v>42094</v>
      </c>
      <c r="AB172" s="2">
        <v>292.65609999999998</v>
      </c>
      <c r="AC172" s="1">
        <v>41729</v>
      </c>
      <c r="AD172" s="2">
        <v>314.64260000000002</v>
      </c>
      <c r="AE172" s="1">
        <v>42094</v>
      </c>
      <c r="AF172" s="2">
        <v>201.30439999999999</v>
      </c>
      <c r="AG172" s="1">
        <v>42094</v>
      </c>
      <c r="AH172" s="2">
        <v>194.57679999999999</v>
      </c>
      <c r="AI172" s="1">
        <v>42094</v>
      </c>
      <c r="AJ172" s="2">
        <v>380.06029999999998</v>
      </c>
      <c r="AK172" s="1">
        <v>41729</v>
      </c>
      <c r="AL172" s="2">
        <v>4385.7299999999996</v>
      </c>
      <c r="AM172" s="1">
        <v>41729</v>
      </c>
      <c r="AN172" s="2">
        <v>1396.39</v>
      </c>
      <c r="AO172" s="1">
        <v>41729</v>
      </c>
      <c r="AP172" s="2">
        <v>2313.2399999999998</v>
      </c>
      <c r="AQ172" s="1">
        <v>41729</v>
      </c>
      <c r="AR172" s="2">
        <v>1403.1</v>
      </c>
      <c r="AS172" s="1">
        <v>41729</v>
      </c>
      <c r="AT172" s="2">
        <v>7101.31</v>
      </c>
      <c r="AU172" s="1">
        <v>41729</v>
      </c>
      <c r="AV172" s="2">
        <v>3345.04</v>
      </c>
      <c r="AW172" s="1">
        <v>43189</v>
      </c>
      <c r="AX172" s="2">
        <v>4596.57</v>
      </c>
      <c r="AY172" s="2">
        <v>43131</v>
      </c>
      <c r="AZ172" s="2">
        <v>152.36000000000001</v>
      </c>
      <c r="BC172" s="1">
        <v>41729</v>
      </c>
      <c r="BD172" s="2">
        <v>1.03</v>
      </c>
      <c r="BE172" s="1">
        <v>41729</v>
      </c>
      <c r="BF172" s="2">
        <v>99.802999999999997</v>
      </c>
      <c r="BG172" s="1">
        <v>41729</v>
      </c>
      <c r="BH172" s="2">
        <v>268.255</v>
      </c>
      <c r="BI172" s="1">
        <v>41729</v>
      </c>
      <c r="BJ172" s="2">
        <v>183.82499999999999</v>
      </c>
      <c r="BK172" s="1">
        <v>41729</v>
      </c>
      <c r="BL172" s="2">
        <v>930.73509999999999</v>
      </c>
      <c r="BM172" s="1">
        <v>43251</v>
      </c>
      <c r="BN172" s="2">
        <v>2741.8180000000002</v>
      </c>
      <c r="BO172" s="1">
        <v>43343</v>
      </c>
      <c r="BP172" s="2">
        <v>359.65</v>
      </c>
    </row>
    <row r="173" spans="1:68" x14ac:dyDescent="0.25">
      <c r="A173" s="1">
        <v>41759</v>
      </c>
      <c r="B173" s="2">
        <v>2162.9859999999999</v>
      </c>
      <c r="C173" s="1">
        <v>41759</v>
      </c>
      <c r="D173" s="2">
        <v>245.8407</v>
      </c>
      <c r="E173" s="1">
        <v>41759</v>
      </c>
      <c r="F173" s="2">
        <v>225.267</v>
      </c>
      <c r="G173" s="1">
        <v>41759</v>
      </c>
      <c r="H173" s="2">
        <v>276.48329999999999</v>
      </c>
      <c r="I173" s="1">
        <v>41789</v>
      </c>
      <c r="J173" s="2">
        <v>140.70330000000001</v>
      </c>
      <c r="K173" s="1">
        <v>41759</v>
      </c>
      <c r="L173" s="2">
        <v>160.2842</v>
      </c>
      <c r="M173" s="1">
        <v>41759</v>
      </c>
      <c r="N173" s="2">
        <v>142.1369</v>
      </c>
      <c r="O173" s="1">
        <v>41789</v>
      </c>
      <c r="P173" s="2">
        <v>121.8081</v>
      </c>
      <c r="Q173" s="1">
        <v>41759</v>
      </c>
      <c r="R173" s="2">
        <v>157.60560000000001</v>
      </c>
      <c r="S173" s="1">
        <v>41759</v>
      </c>
      <c r="T173" s="2">
        <v>454.14519999999999</v>
      </c>
      <c r="U173" s="1">
        <v>41759</v>
      </c>
      <c r="V173" s="2">
        <v>323.69080000000002</v>
      </c>
      <c r="W173" s="1">
        <v>41759</v>
      </c>
      <c r="X173" s="2">
        <v>1903.14</v>
      </c>
      <c r="Y173" s="1">
        <v>41759</v>
      </c>
      <c r="Z173" s="2">
        <v>223.15899999999999</v>
      </c>
      <c r="AA173" s="1">
        <v>42124</v>
      </c>
      <c r="AB173" s="2">
        <v>307.85559999999998</v>
      </c>
      <c r="AC173" s="1">
        <v>41759</v>
      </c>
      <c r="AD173" s="2">
        <v>322.68720000000002</v>
      </c>
      <c r="AE173" s="1">
        <v>42124</v>
      </c>
      <c r="AF173" s="2">
        <v>199.8732</v>
      </c>
      <c r="AG173" s="1">
        <v>42124</v>
      </c>
      <c r="AH173" s="2">
        <v>223.84370000000001</v>
      </c>
      <c r="AI173" s="1">
        <v>42124</v>
      </c>
      <c r="AJ173" s="2">
        <v>377.41539999999998</v>
      </c>
      <c r="AK173" s="1">
        <v>41759</v>
      </c>
      <c r="AL173" s="2">
        <v>4430.67</v>
      </c>
      <c r="AM173" s="1">
        <v>41759</v>
      </c>
      <c r="AN173" s="2">
        <v>1419.17</v>
      </c>
      <c r="AO173" s="1">
        <v>41759</v>
      </c>
      <c r="AP173" s="2">
        <v>2348.0700000000002</v>
      </c>
      <c r="AQ173" s="1">
        <v>41759</v>
      </c>
      <c r="AR173" s="2">
        <v>1386.93</v>
      </c>
      <c r="AS173" s="1">
        <v>41759</v>
      </c>
      <c r="AT173" s="2">
        <v>7218.53</v>
      </c>
      <c r="AU173" s="1">
        <v>41759</v>
      </c>
      <c r="AV173" s="2">
        <v>3358.33</v>
      </c>
      <c r="AW173" s="1">
        <v>43220</v>
      </c>
      <c r="AX173" s="2">
        <v>4675.6099999999997</v>
      </c>
      <c r="AY173" s="2">
        <v>43159</v>
      </c>
      <c r="AZ173" s="2">
        <v>142.97</v>
      </c>
      <c r="BC173" s="1">
        <v>41759</v>
      </c>
      <c r="BD173" s="2">
        <v>0.98</v>
      </c>
      <c r="BE173" s="1">
        <v>41759</v>
      </c>
      <c r="BF173" s="2">
        <v>96.855000000000004</v>
      </c>
      <c r="BG173" s="1">
        <v>41759</v>
      </c>
      <c r="BH173" s="2">
        <v>261.54899999999998</v>
      </c>
      <c r="BI173" s="1">
        <v>41759</v>
      </c>
      <c r="BJ173" s="2">
        <v>178.19200000000001</v>
      </c>
      <c r="BK173" s="1">
        <v>41759</v>
      </c>
      <c r="BL173" s="2">
        <v>940.93960000000004</v>
      </c>
      <c r="BM173" s="1">
        <v>43280</v>
      </c>
      <c r="BN173" s="2">
        <v>2739.759</v>
      </c>
      <c r="BO173" s="1">
        <v>43371</v>
      </c>
      <c r="BP173" s="2">
        <v>368.19</v>
      </c>
    </row>
    <row r="174" spans="1:68" x14ac:dyDescent="0.25">
      <c r="A174" s="1">
        <v>41789</v>
      </c>
      <c r="B174" s="2">
        <v>2227.085</v>
      </c>
      <c r="C174" s="1">
        <v>41789</v>
      </c>
      <c r="D174" s="2">
        <v>248.31790000000001</v>
      </c>
      <c r="E174" s="1">
        <v>41789</v>
      </c>
      <c r="F174" s="2">
        <v>226.649</v>
      </c>
      <c r="G174" s="1">
        <v>41789</v>
      </c>
      <c r="H174" s="2">
        <v>278.84190000000001</v>
      </c>
      <c r="I174" s="1">
        <v>41820</v>
      </c>
      <c r="J174" s="2">
        <v>141.45679999999999</v>
      </c>
      <c r="K174" s="1">
        <v>41789</v>
      </c>
      <c r="L174" s="2">
        <v>162.05930000000001</v>
      </c>
      <c r="M174" s="1">
        <v>41789</v>
      </c>
      <c r="N174" s="2">
        <v>145.61930000000001</v>
      </c>
      <c r="O174" s="1">
        <v>41820</v>
      </c>
      <c r="P174" s="2">
        <v>122.2925</v>
      </c>
      <c r="Q174" s="1">
        <v>41789</v>
      </c>
      <c r="R174" s="2">
        <v>157.09119999999999</v>
      </c>
      <c r="S174" s="1">
        <v>41789</v>
      </c>
      <c r="T174" s="2">
        <v>458.52600000000001</v>
      </c>
      <c r="U174" s="1">
        <v>41789</v>
      </c>
      <c r="V174" s="2">
        <v>327.06439999999998</v>
      </c>
      <c r="W174" s="1">
        <v>41789</v>
      </c>
      <c r="X174" s="2">
        <v>1926.04</v>
      </c>
      <c r="Y174" s="1">
        <v>41789</v>
      </c>
      <c r="Z174" s="2">
        <v>209.89099999999999</v>
      </c>
      <c r="AA174" s="1">
        <v>42153</v>
      </c>
      <c r="AB174" s="2">
        <v>300.2944</v>
      </c>
      <c r="AC174" s="1">
        <v>41789</v>
      </c>
      <c r="AD174" s="2">
        <v>314.16219999999998</v>
      </c>
      <c r="AE174" s="1">
        <v>42153</v>
      </c>
      <c r="AF174" s="2">
        <v>194.74600000000001</v>
      </c>
      <c r="AG174" s="1">
        <v>42153</v>
      </c>
      <c r="AH174" s="2">
        <v>219.3177</v>
      </c>
      <c r="AI174" s="1">
        <v>42153</v>
      </c>
      <c r="AJ174" s="2">
        <v>381.8503</v>
      </c>
      <c r="AK174" s="1">
        <v>41789</v>
      </c>
      <c r="AL174" s="2">
        <v>4517.84</v>
      </c>
      <c r="AM174" s="1">
        <v>41789</v>
      </c>
      <c r="AN174" s="2">
        <v>1443.99</v>
      </c>
      <c r="AO174" s="1">
        <v>41789</v>
      </c>
      <c r="AP174" s="2">
        <v>2382.62</v>
      </c>
      <c r="AQ174" s="1">
        <v>41789</v>
      </c>
      <c r="AR174" s="2">
        <v>1436.65</v>
      </c>
      <c r="AS174" s="1">
        <v>41789</v>
      </c>
      <c r="AT174" s="2">
        <v>7311.48</v>
      </c>
      <c r="AU174" s="1">
        <v>41789</v>
      </c>
      <c r="AV174" s="2">
        <v>3447.51</v>
      </c>
      <c r="AW174" s="1">
        <v>43251</v>
      </c>
      <c r="AX174" s="2">
        <v>4801.87</v>
      </c>
      <c r="AY174" s="2">
        <v>43189</v>
      </c>
      <c r="AZ174" s="2">
        <v>138.85</v>
      </c>
      <c r="BC174" s="1">
        <v>41789</v>
      </c>
      <c r="BD174" s="2">
        <v>0.98</v>
      </c>
      <c r="BE174" s="1">
        <v>41789</v>
      </c>
      <c r="BF174" s="2">
        <v>93.51</v>
      </c>
      <c r="BG174" s="1">
        <v>41789</v>
      </c>
      <c r="BH174" s="2">
        <v>244.03899999999999</v>
      </c>
      <c r="BI174" s="1">
        <v>41789</v>
      </c>
      <c r="BJ174" s="2">
        <v>178.696</v>
      </c>
      <c r="BK174" s="1">
        <v>41789</v>
      </c>
      <c r="BL174" s="2">
        <v>944.30139999999994</v>
      </c>
      <c r="BM174" s="1">
        <v>43312</v>
      </c>
      <c r="BN174" s="2">
        <v>2840.0949999999998</v>
      </c>
      <c r="BO174" s="1">
        <v>43404</v>
      </c>
      <c r="BP174" s="2">
        <v>346.96</v>
      </c>
    </row>
    <row r="175" spans="1:68" x14ac:dyDescent="0.25">
      <c r="A175" s="1">
        <v>41820</v>
      </c>
      <c r="B175" s="2">
        <v>2258.1</v>
      </c>
      <c r="C175" s="1">
        <v>41820</v>
      </c>
      <c r="D175" s="2">
        <v>249.01259999999999</v>
      </c>
      <c r="E175" s="1">
        <v>41820</v>
      </c>
      <c r="F175" s="2">
        <v>227.21600000000001</v>
      </c>
      <c r="G175" s="1">
        <v>41820</v>
      </c>
      <c r="H175" s="2">
        <v>278.16140000000001</v>
      </c>
      <c r="I175" s="1">
        <v>41851</v>
      </c>
      <c r="J175" s="2">
        <v>141.71379999999999</v>
      </c>
      <c r="K175" s="1">
        <v>41820</v>
      </c>
      <c r="L175" s="2">
        <v>163.7072</v>
      </c>
      <c r="M175" s="1">
        <v>41820</v>
      </c>
      <c r="N175" s="2">
        <v>146.93600000000001</v>
      </c>
      <c r="O175" s="1">
        <v>41851</v>
      </c>
      <c r="P175" s="2">
        <v>122.86960000000001</v>
      </c>
      <c r="Q175" s="1">
        <v>41820</v>
      </c>
      <c r="R175" s="2">
        <v>157.13669999999999</v>
      </c>
      <c r="S175" s="1">
        <v>41820</v>
      </c>
      <c r="T175" s="2">
        <v>460.08409999999998</v>
      </c>
      <c r="U175" s="1">
        <v>41820</v>
      </c>
      <c r="V175" s="2">
        <v>329.84870000000001</v>
      </c>
      <c r="W175" s="1">
        <v>41820</v>
      </c>
      <c r="X175" s="2">
        <v>1931.09</v>
      </c>
      <c r="Y175" s="1">
        <v>41820</v>
      </c>
      <c r="Z175" s="2">
        <v>206.97499999999999</v>
      </c>
      <c r="AA175" s="1">
        <v>42185</v>
      </c>
      <c r="AB175" s="2">
        <v>302.81380000000001</v>
      </c>
      <c r="AC175" s="1">
        <v>41820</v>
      </c>
      <c r="AD175" s="2">
        <v>317.05470000000003</v>
      </c>
      <c r="AE175" s="1">
        <v>42185</v>
      </c>
      <c r="AF175" s="2">
        <v>211.5797</v>
      </c>
      <c r="AG175" s="1">
        <v>42185</v>
      </c>
      <c r="AH175" s="2">
        <v>215.11369999999999</v>
      </c>
      <c r="AI175" s="1">
        <v>42185</v>
      </c>
      <c r="AJ175" s="2">
        <v>371.51510000000002</v>
      </c>
      <c r="AK175" s="1">
        <v>41820</v>
      </c>
      <c r="AL175" s="2">
        <v>4598.66</v>
      </c>
      <c r="AM175" s="1">
        <v>41820</v>
      </c>
      <c r="AN175" s="2">
        <v>1460.66</v>
      </c>
      <c r="AO175" s="1">
        <v>41820</v>
      </c>
      <c r="AP175" s="2">
        <v>2421.8000000000002</v>
      </c>
      <c r="AQ175" s="1">
        <v>41820</v>
      </c>
      <c r="AR175" s="2">
        <v>1467.15</v>
      </c>
      <c r="AS175" s="1">
        <v>41820</v>
      </c>
      <c r="AT175" s="2">
        <v>7449.32</v>
      </c>
      <c r="AU175" s="1">
        <v>41820</v>
      </c>
      <c r="AV175" s="2">
        <v>3505.88</v>
      </c>
      <c r="AW175" s="1">
        <v>43280</v>
      </c>
      <c r="AX175" s="2">
        <v>4745.8</v>
      </c>
      <c r="AY175" s="2">
        <v>43220</v>
      </c>
      <c r="AZ175" s="2">
        <v>140.74</v>
      </c>
      <c r="BC175" s="1">
        <v>41820</v>
      </c>
      <c r="BD175" s="2">
        <v>0.96</v>
      </c>
      <c r="BE175" s="1">
        <v>41820</v>
      </c>
      <c r="BF175" s="2">
        <v>89.887</v>
      </c>
      <c r="BG175" s="1">
        <v>41820</v>
      </c>
      <c r="BH175" s="2">
        <v>250.506</v>
      </c>
      <c r="BI175" s="1">
        <v>41820</v>
      </c>
      <c r="BJ175" s="2">
        <v>172.833</v>
      </c>
      <c r="BK175" s="1">
        <v>41820</v>
      </c>
      <c r="BL175" s="2">
        <v>951.86760000000004</v>
      </c>
      <c r="BM175" s="1">
        <v>43343</v>
      </c>
      <c r="BN175" s="2">
        <v>2824.2719999999999</v>
      </c>
      <c r="BO175" s="1">
        <v>43434</v>
      </c>
      <c r="BP175" s="2">
        <v>348.55</v>
      </c>
    </row>
    <row r="176" spans="1:68" x14ac:dyDescent="0.25">
      <c r="A176" s="1">
        <v>41851</v>
      </c>
      <c r="B176" s="2">
        <v>2234.0169999999998</v>
      </c>
      <c r="C176" s="1">
        <v>41851</v>
      </c>
      <c r="D176" s="2">
        <v>247.69110000000001</v>
      </c>
      <c r="E176" s="1">
        <v>41851</v>
      </c>
      <c r="F176" s="2">
        <v>227.13200000000001</v>
      </c>
      <c r="G176" s="1">
        <v>41851</v>
      </c>
      <c r="H176" s="2">
        <v>275.55810000000002</v>
      </c>
      <c r="I176" s="1">
        <v>41880</v>
      </c>
      <c r="J176" s="2">
        <v>142.81129999999999</v>
      </c>
      <c r="K176" s="1">
        <v>41851</v>
      </c>
      <c r="L176" s="2">
        <v>163.0701</v>
      </c>
      <c r="M176" s="1">
        <v>41851</v>
      </c>
      <c r="N176" s="2">
        <v>148.2046</v>
      </c>
      <c r="O176" s="1">
        <v>41880</v>
      </c>
      <c r="P176" s="2">
        <v>123.0346</v>
      </c>
      <c r="Q176" s="1">
        <v>41851</v>
      </c>
      <c r="R176" s="2">
        <v>156.73949999999999</v>
      </c>
      <c r="S176" s="1">
        <v>41851</v>
      </c>
      <c r="T176" s="2">
        <v>461.0745</v>
      </c>
      <c r="U176" s="1">
        <v>41851</v>
      </c>
      <c r="V176" s="2">
        <v>327.97149999999999</v>
      </c>
      <c r="W176" s="1">
        <v>41851</v>
      </c>
      <c r="X176" s="2">
        <v>1919.76</v>
      </c>
      <c r="Y176" s="1">
        <v>41851</v>
      </c>
      <c r="Z176" s="2">
        <v>202.63399999999999</v>
      </c>
      <c r="AA176" s="1">
        <v>42216</v>
      </c>
      <c r="AB176" s="2">
        <v>272.81509999999997</v>
      </c>
      <c r="AC176" s="1">
        <v>41851</v>
      </c>
      <c r="AD176" s="2">
        <v>303.4117</v>
      </c>
      <c r="AE176" s="1">
        <v>42216</v>
      </c>
      <c r="AF176" s="2">
        <v>193.13730000000001</v>
      </c>
      <c r="AG176" s="1">
        <v>42216</v>
      </c>
      <c r="AH176" s="2">
        <v>180.36510000000001</v>
      </c>
      <c r="AI176" s="1">
        <v>42216</v>
      </c>
      <c r="AJ176" s="2">
        <v>347.62419999999997</v>
      </c>
      <c r="AK176" s="1">
        <v>41851</v>
      </c>
      <c r="AL176" s="2">
        <v>4525.2700000000004</v>
      </c>
      <c r="AM176" s="1">
        <v>41851</v>
      </c>
      <c r="AN176" s="2">
        <v>1444.25</v>
      </c>
      <c r="AO176" s="1">
        <v>41851</v>
      </c>
      <c r="AP176" s="2">
        <v>2394.7399999999998</v>
      </c>
      <c r="AQ176" s="1">
        <v>41851</v>
      </c>
      <c r="AR176" s="2">
        <v>1437.52</v>
      </c>
      <c r="AS176" s="1">
        <v>41851</v>
      </c>
      <c r="AT176" s="2">
        <v>7329.43</v>
      </c>
      <c r="AU176" s="1">
        <v>41851</v>
      </c>
      <c r="AV176" s="2">
        <v>3450.31</v>
      </c>
      <c r="AW176" s="1">
        <v>43312</v>
      </c>
      <c r="AX176" s="2">
        <v>4743.96</v>
      </c>
      <c r="AY176" s="2">
        <v>43251</v>
      </c>
      <c r="AZ176" s="2">
        <v>141.15</v>
      </c>
      <c r="BC176" s="1">
        <v>41851</v>
      </c>
      <c r="BD176" s="2">
        <v>0.95</v>
      </c>
      <c r="BE176" s="1">
        <v>41851</v>
      </c>
      <c r="BF176" s="2">
        <v>80.331000000000003</v>
      </c>
      <c r="BG176" s="1">
        <v>41851</v>
      </c>
      <c r="BH176" s="2">
        <v>253.249</v>
      </c>
      <c r="BI176" s="1">
        <v>41851</v>
      </c>
      <c r="BJ176" s="2">
        <v>156.221</v>
      </c>
      <c r="BK176" s="1">
        <v>41851</v>
      </c>
      <c r="BL176" s="2">
        <v>942.90309999999999</v>
      </c>
      <c r="BM176" s="1">
        <v>43371</v>
      </c>
      <c r="BN176" s="2">
        <v>2851.0509999999999</v>
      </c>
      <c r="BO176" s="1">
        <v>43465</v>
      </c>
      <c r="BP176" s="2">
        <v>312.27</v>
      </c>
    </row>
    <row r="177" spans="1:68" x14ac:dyDescent="0.25">
      <c r="A177" s="1">
        <v>41880</v>
      </c>
      <c r="B177" s="2">
        <v>2357.018</v>
      </c>
      <c r="C177" s="1">
        <v>41880</v>
      </c>
      <c r="D177" s="2">
        <v>251.1328</v>
      </c>
      <c r="E177" s="1">
        <v>41880</v>
      </c>
      <c r="F177" s="2">
        <v>231.33500000000001</v>
      </c>
      <c r="G177" s="1">
        <v>41880</v>
      </c>
      <c r="H177" s="2">
        <v>276.03199999999998</v>
      </c>
      <c r="I177" s="1">
        <v>41912</v>
      </c>
      <c r="J177" s="2">
        <v>143.6472</v>
      </c>
      <c r="K177" s="1">
        <v>41880</v>
      </c>
      <c r="L177" s="2">
        <v>163.4436</v>
      </c>
      <c r="M177" s="1">
        <v>41880</v>
      </c>
      <c r="N177" s="2">
        <v>153.36580000000001</v>
      </c>
      <c r="O177" s="1">
        <v>41912</v>
      </c>
      <c r="P177" s="2">
        <v>125.227</v>
      </c>
      <c r="Q177" s="1">
        <v>41880</v>
      </c>
      <c r="R177" s="2">
        <v>157.00819999999999</v>
      </c>
      <c r="S177" s="1">
        <v>41880</v>
      </c>
      <c r="T177" s="2">
        <v>466.69299999999998</v>
      </c>
      <c r="U177" s="1">
        <v>41880</v>
      </c>
      <c r="V177" s="2">
        <v>332.0616</v>
      </c>
      <c r="W177" s="1">
        <v>41880</v>
      </c>
      <c r="X177" s="2">
        <v>1937.74</v>
      </c>
      <c r="Y177" s="1">
        <v>41880</v>
      </c>
      <c r="Z177" s="2">
        <v>185.09700000000001</v>
      </c>
      <c r="AA177" s="1">
        <v>42247</v>
      </c>
      <c r="AB177" s="2">
        <v>270.22620000000001</v>
      </c>
      <c r="AC177" s="1">
        <v>41880</v>
      </c>
      <c r="AD177" s="2">
        <v>300.84980000000002</v>
      </c>
      <c r="AE177" s="1">
        <v>42247</v>
      </c>
      <c r="AF177" s="2">
        <v>186.3792</v>
      </c>
      <c r="AG177" s="1">
        <v>42247</v>
      </c>
      <c r="AH177" s="2">
        <v>183.3518</v>
      </c>
      <c r="AI177" s="1">
        <v>42247</v>
      </c>
      <c r="AJ177" s="2">
        <v>355.81630000000001</v>
      </c>
      <c r="AK177" s="1">
        <v>41880</v>
      </c>
      <c r="AL177" s="2">
        <v>4624.99</v>
      </c>
      <c r="AM177" s="1">
        <v>41880</v>
      </c>
      <c r="AN177" s="2">
        <v>1492.92</v>
      </c>
      <c r="AO177" s="1">
        <v>41880</v>
      </c>
      <c r="AP177" s="2">
        <v>2465.9699999999998</v>
      </c>
      <c r="AQ177" s="1">
        <v>41880</v>
      </c>
      <c r="AR177" s="2">
        <v>1482.71</v>
      </c>
      <c r="AS177" s="1">
        <v>41880</v>
      </c>
      <c r="AT177" s="2">
        <v>7452.63</v>
      </c>
      <c r="AU177" s="1">
        <v>41880</v>
      </c>
      <c r="AV177" s="2">
        <v>3544.21</v>
      </c>
      <c r="AW177" s="1">
        <v>43343</v>
      </c>
      <c r="AX177" s="2">
        <v>4759.24</v>
      </c>
      <c r="AY177" s="2">
        <v>43280</v>
      </c>
      <c r="AZ177" s="2">
        <v>140.54</v>
      </c>
      <c r="BC177" s="1">
        <v>41880</v>
      </c>
      <c r="BD177" s="2">
        <v>0.97</v>
      </c>
      <c r="BE177" s="1">
        <v>41880</v>
      </c>
      <c r="BF177" s="2">
        <v>71.644999999999996</v>
      </c>
      <c r="BG177" s="1">
        <v>41880</v>
      </c>
      <c r="BH177" s="2">
        <v>231.773</v>
      </c>
      <c r="BI177" s="1">
        <v>41880</v>
      </c>
      <c r="BJ177" s="2">
        <v>145.25800000000001</v>
      </c>
      <c r="BK177" s="1">
        <v>41880</v>
      </c>
      <c r="BL177" s="2">
        <v>947.19439999999997</v>
      </c>
      <c r="BM177" s="1">
        <v>43404</v>
      </c>
      <c r="BN177" s="2">
        <v>2700.087</v>
      </c>
      <c r="BO177" s="1">
        <v>43496</v>
      </c>
      <c r="BP177" s="2">
        <v>333.77</v>
      </c>
    </row>
    <row r="178" spans="1:68" x14ac:dyDescent="0.25">
      <c r="A178" s="1">
        <v>41912</v>
      </c>
      <c r="B178" s="2">
        <v>2435.6019999999999</v>
      </c>
      <c r="C178" s="1">
        <v>41912</v>
      </c>
      <c r="D178" s="2">
        <v>246.09870000000001</v>
      </c>
      <c r="E178" s="1">
        <v>41912</v>
      </c>
      <c r="F178" s="2">
        <v>229.36099999999999</v>
      </c>
      <c r="G178" s="1">
        <v>41912</v>
      </c>
      <c r="H178" s="2">
        <v>265.35270000000003</v>
      </c>
      <c r="I178" s="1">
        <v>41943</v>
      </c>
      <c r="J178" s="2">
        <v>143.66679999999999</v>
      </c>
      <c r="K178" s="1">
        <v>41912</v>
      </c>
      <c r="L178" s="2">
        <v>161.88499999999999</v>
      </c>
      <c r="M178" s="1">
        <v>41912</v>
      </c>
      <c r="N178" s="2">
        <v>151.65780000000001</v>
      </c>
      <c r="O178" s="1">
        <v>41943</v>
      </c>
      <c r="P178" s="2">
        <v>125.2672</v>
      </c>
      <c r="Q178" s="1">
        <v>41912</v>
      </c>
      <c r="R178" s="2">
        <v>159.31829999999999</v>
      </c>
      <c r="S178" s="1">
        <v>41912</v>
      </c>
      <c r="T178" s="2">
        <v>465.3177</v>
      </c>
      <c r="U178" s="1">
        <v>41912</v>
      </c>
      <c r="V178" s="2">
        <v>320.74040000000002</v>
      </c>
      <c r="W178" s="1">
        <v>41912</v>
      </c>
      <c r="X178" s="2">
        <v>1934.61</v>
      </c>
      <c r="Y178" s="1">
        <v>41912</v>
      </c>
      <c r="Z178" s="2">
        <v>191.791</v>
      </c>
      <c r="AA178" s="1">
        <v>42277</v>
      </c>
      <c r="AB178" s="2">
        <v>261.3689</v>
      </c>
      <c r="AC178" s="1">
        <v>41912</v>
      </c>
      <c r="AD178" s="2">
        <v>282.68259999999998</v>
      </c>
      <c r="AE178" s="1">
        <v>42277</v>
      </c>
      <c r="AF178" s="2">
        <v>186.0684</v>
      </c>
      <c r="AG178" s="1">
        <v>42277</v>
      </c>
      <c r="AH178" s="2">
        <v>165.608</v>
      </c>
      <c r="AI178" s="1">
        <v>42277</v>
      </c>
      <c r="AJ178" s="2">
        <v>351.1533</v>
      </c>
      <c r="AK178" s="1">
        <v>41912</v>
      </c>
      <c r="AL178" s="2">
        <v>4499.46</v>
      </c>
      <c r="AM178" s="1">
        <v>41912</v>
      </c>
      <c r="AN178" s="2">
        <v>1463.92</v>
      </c>
      <c r="AO178" s="1">
        <v>41912</v>
      </c>
      <c r="AP178" s="2">
        <v>2408.09</v>
      </c>
      <c r="AQ178" s="1">
        <v>41912</v>
      </c>
      <c r="AR178" s="2">
        <v>1453.05</v>
      </c>
      <c r="AS178" s="1">
        <v>41912</v>
      </c>
      <c r="AT178" s="2">
        <v>7237.68</v>
      </c>
      <c r="AU178" s="1">
        <v>41912</v>
      </c>
      <c r="AV178" s="2">
        <v>3454.02</v>
      </c>
      <c r="AW178" s="1">
        <v>43371</v>
      </c>
      <c r="AX178" s="2">
        <v>4760.3599999999997</v>
      </c>
      <c r="AY178" s="2">
        <v>43312</v>
      </c>
      <c r="AZ178" s="2">
        <v>147.19</v>
      </c>
      <c r="BC178" s="1">
        <v>41912</v>
      </c>
      <c r="BD178" s="2">
        <v>1.07</v>
      </c>
      <c r="BE178" s="1">
        <v>41912</v>
      </c>
      <c r="BF178" s="2">
        <v>73.061999999999998</v>
      </c>
      <c r="BG178" s="1">
        <v>41912</v>
      </c>
      <c r="BH178" s="2">
        <v>246.85400000000001</v>
      </c>
      <c r="BI178" s="1">
        <v>41912</v>
      </c>
      <c r="BJ178" s="2">
        <v>143.84800000000001</v>
      </c>
      <c r="BK178" s="1">
        <v>41912</v>
      </c>
      <c r="BL178" s="2">
        <v>915.89670000000001</v>
      </c>
      <c r="BM178" s="1">
        <v>43434</v>
      </c>
      <c r="BN178" s="2">
        <v>2744.1489999999999</v>
      </c>
      <c r="BO178" s="1">
        <v>43524</v>
      </c>
      <c r="BP178" s="2">
        <v>342.24</v>
      </c>
    </row>
    <row r="179" spans="1:68" x14ac:dyDescent="0.25">
      <c r="A179" s="1">
        <v>41943</v>
      </c>
      <c r="B179" s="2">
        <v>2478.6019999999999</v>
      </c>
      <c r="C179" s="1">
        <v>41943</v>
      </c>
      <c r="D179" s="2">
        <v>248.1875</v>
      </c>
      <c r="E179" s="1">
        <v>41943</v>
      </c>
      <c r="F179" s="2">
        <v>229.59200000000001</v>
      </c>
      <c r="G179" s="1">
        <v>41943</v>
      </c>
      <c r="H179" s="2">
        <v>268.21780000000001</v>
      </c>
      <c r="I179" s="1">
        <v>41971</v>
      </c>
      <c r="J179" s="2">
        <v>145.84479999999999</v>
      </c>
      <c r="K179" s="1">
        <v>41943</v>
      </c>
      <c r="L179" s="2">
        <v>157.4897</v>
      </c>
      <c r="M179" s="1">
        <v>41943</v>
      </c>
      <c r="N179" s="2">
        <v>154.08019999999999</v>
      </c>
      <c r="O179" s="1">
        <v>41971</v>
      </c>
      <c r="P179" s="2">
        <v>127.0167</v>
      </c>
      <c r="Q179" s="1">
        <v>41943</v>
      </c>
      <c r="R179" s="2">
        <v>161.1044</v>
      </c>
      <c r="S179" s="1">
        <v>41943</v>
      </c>
      <c r="T179" s="2">
        <v>468.70890000000003</v>
      </c>
      <c r="U179" s="1">
        <v>41943</v>
      </c>
      <c r="V179" s="2">
        <v>320.95979999999997</v>
      </c>
      <c r="W179" s="1">
        <v>41943</v>
      </c>
      <c r="X179" s="2">
        <v>1953.34</v>
      </c>
      <c r="Y179" s="1">
        <v>41943</v>
      </c>
      <c r="Z179" s="2">
        <v>183.99199999999999</v>
      </c>
      <c r="AA179" s="1">
        <v>42307</v>
      </c>
      <c r="AB179" s="2">
        <v>263.2079</v>
      </c>
      <c r="AC179" s="1">
        <v>41943</v>
      </c>
      <c r="AD179" s="2">
        <v>280.6592</v>
      </c>
      <c r="AE179" s="1">
        <v>42307</v>
      </c>
      <c r="AF179" s="2">
        <v>187.52850000000001</v>
      </c>
      <c r="AG179" s="1">
        <v>42307</v>
      </c>
      <c r="AH179" s="2">
        <v>166.06809999999999</v>
      </c>
      <c r="AI179" s="1">
        <v>42307</v>
      </c>
      <c r="AJ179" s="2">
        <v>363.03930000000003</v>
      </c>
      <c r="AK179" s="1">
        <v>41943</v>
      </c>
      <c r="AL179" s="2">
        <v>4528.57</v>
      </c>
      <c r="AM179" s="1">
        <v>41943</v>
      </c>
      <c r="AN179" s="2">
        <v>1492.52</v>
      </c>
      <c r="AO179" s="1">
        <v>41943</v>
      </c>
      <c r="AP179" s="2">
        <v>2480.54</v>
      </c>
      <c r="AQ179" s="1">
        <v>41943</v>
      </c>
      <c r="AR179" s="2">
        <v>1465.42</v>
      </c>
      <c r="AS179" s="1">
        <v>41943</v>
      </c>
      <c r="AT179" s="2">
        <v>7245.7</v>
      </c>
      <c r="AU179" s="1">
        <v>41943</v>
      </c>
      <c r="AV179" s="2">
        <v>3494.46</v>
      </c>
      <c r="AW179" s="1">
        <v>43404</v>
      </c>
      <c r="AX179" s="2">
        <v>4637</v>
      </c>
      <c r="AY179" s="2">
        <v>43343</v>
      </c>
      <c r="AZ179" s="2">
        <v>146.34</v>
      </c>
      <c r="BC179" s="1">
        <v>41943</v>
      </c>
      <c r="BD179" s="2">
        <v>1.1200000000000001</v>
      </c>
      <c r="BE179" s="1">
        <v>41943</v>
      </c>
      <c r="BF179" s="2">
        <v>72.412000000000006</v>
      </c>
      <c r="BG179" s="1">
        <v>41943</v>
      </c>
      <c r="BH179" s="2">
        <v>232.51599999999999</v>
      </c>
      <c r="BI179" s="1">
        <v>41943</v>
      </c>
      <c r="BJ179" s="2">
        <v>145.499</v>
      </c>
      <c r="BK179" s="1">
        <v>41943</v>
      </c>
      <c r="BL179" s="2">
        <v>913.61389999999994</v>
      </c>
      <c r="BM179" s="1">
        <v>43465</v>
      </c>
      <c r="BN179" s="2">
        <v>2532.4850000000001</v>
      </c>
      <c r="BO179" s="1">
        <v>43553</v>
      </c>
      <c r="BP179" s="2">
        <v>352.18</v>
      </c>
    </row>
    <row r="180" spans="1:68" x14ac:dyDescent="0.25">
      <c r="A180" s="1">
        <v>41971</v>
      </c>
      <c r="B180" s="2">
        <v>2659.299</v>
      </c>
      <c r="C180" s="1">
        <v>41971</v>
      </c>
      <c r="D180" s="2">
        <v>245.66919999999999</v>
      </c>
      <c r="E180" s="1">
        <v>41971</v>
      </c>
      <c r="F180" s="2">
        <v>230.423</v>
      </c>
      <c r="G180" s="1">
        <v>41971</v>
      </c>
      <c r="H180" s="2">
        <v>265.86360000000002</v>
      </c>
      <c r="I180" s="1">
        <v>42004</v>
      </c>
      <c r="J180" s="2">
        <v>148.0454</v>
      </c>
      <c r="K180" s="1">
        <v>41971</v>
      </c>
      <c r="L180" s="2">
        <v>158.6396</v>
      </c>
      <c r="M180" s="1">
        <v>41971</v>
      </c>
      <c r="N180" s="2">
        <v>157.66980000000001</v>
      </c>
      <c r="O180" s="1">
        <v>42004</v>
      </c>
      <c r="P180" s="2">
        <v>129.34309999999999</v>
      </c>
      <c r="Q180" s="1">
        <v>41971</v>
      </c>
      <c r="R180" s="2">
        <v>163.95009999999999</v>
      </c>
      <c r="S180" s="1">
        <v>41971</v>
      </c>
      <c r="T180" s="2">
        <v>473.11020000000002</v>
      </c>
      <c r="U180" s="1">
        <v>41971</v>
      </c>
      <c r="V180" s="2">
        <v>324.07979999999998</v>
      </c>
      <c r="W180" s="1">
        <v>41971</v>
      </c>
      <c r="X180" s="2">
        <v>1966.13</v>
      </c>
      <c r="Y180" s="1">
        <v>41971</v>
      </c>
      <c r="Z180" s="2">
        <v>168.98500000000001</v>
      </c>
      <c r="AA180" s="1">
        <v>42338</v>
      </c>
      <c r="AB180" s="2">
        <v>246.6575</v>
      </c>
      <c r="AC180" s="1">
        <v>41971</v>
      </c>
      <c r="AD180" s="2">
        <v>269.69420000000002</v>
      </c>
      <c r="AE180" s="1">
        <v>42338</v>
      </c>
      <c r="AF180" s="2">
        <v>181.42310000000001</v>
      </c>
      <c r="AG180" s="1">
        <v>42338</v>
      </c>
      <c r="AH180" s="2">
        <v>150.322</v>
      </c>
      <c r="AI180" s="1">
        <v>42338</v>
      </c>
      <c r="AJ180" s="2">
        <v>336.2054</v>
      </c>
      <c r="AK180" s="1">
        <v>41971</v>
      </c>
      <c r="AL180" s="2">
        <v>4619.32</v>
      </c>
      <c r="AM180" s="1">
        <v>41971</v>
      </c>
      <c r="AN180" s="2">
        <v>1528.08</v>
      </c>
      <c r="AO180" s="1">
        <v>41971</v>
      </c>
      <c r="AP180" s="2">
        <v>2531.48</v>
      </c>
      <c r="AQ180" s="1">
        <v>41971</v>
      </c>
      <c r="AR180" s="2">
        <v>1511.83</v>
      </c>
      <c r="AS180" s="1">
        <v>41971</v>
      </c>
      <c r="AT180" s="2">
        <v>7329.46</v>
      </c>
      <c r="AU180" s="1">
        <v>41971</v>
      </c>
      <c r="AV180" s="2">
        <v>3593.36</v>
      </c>
      <c r="AW180" s="1">
        <v>43434</v>
      </c>
      <c r="AX180" s="2">
        <v>4649.42</v>
      </c>
      <c r="AY180" s="2">
        <v>43371</v>
      </c>
      <c r="AZ180" s="2">
        <v>147.37</v>
      </c>
      <c r="BC180" s="1">
        <v>41971</v>
      </c>
      <c r="BD180" s="2">
        <v>1.18</v>
      </c>
      <c r="BE180" s="1">
        <v>41971</v>
      </c>
      <c r="BF180" s="2">
        <v>68.195999999999998</v>
      </c>
      <c r="BG180" s="1">
        <v>41971</v>
      </c>
      <c r="BH180" s="2">
        <v>214.709</v>
      </c>
      <c r="BI180" s="1">
        <v>41971</v>
      </c>
      <c r="BJ180" s="2">
        <v>140.66800000000001</v>
      </c>
      <c r="BK180" s="1">
        <v>41971</v>
      </c>
      <c r="BL180" s="2">
        <v>908.23919999999998</v>
      </c>
      <c r="BM180" s="1">
        <v>43496</v>
      </c>
      <c r="BN180" s="2">
        <v>2777.7280000000001</v>
      </c>
      <c r="BO180" s="1">
        <v>43585</v>
      </c>
      <c r="BP180" s="2">
        <v>364.41</v>
      </c>
    </row>
    <row r="181" spans="1:68" x14ac:dyDescent="0.25">
      <c r="A181" s="1">
        <v>42004</v>
      </c>
      <c r="B181" s="2">
        <v>2721.7869999999998</v>
      </c>
      <c r="C181" s="1">
        <v>42004</v>
      </c>
      <c r="D181" s="2">
        <v>239.5334</v>
      </c>
      <c r="E181" s="1">
        <v>42004</v>
      </c>
      <c r="F181" s="2">
        <v>227.26400000000001</v>
      </c>
      <c r="G181" s="1">
        <v>42004</v>
      </c>
      <c r="H181" s="2">
        <v>256.7645</v>
      </c>
      <c r="I181" s="1">
        <v>42034</v>
      </c>
      <c r="J181" s="2">
        <v>150.84039999999999</v>
      </c>
      <c r="K181" s="1">
        <v>42004</v>
      </c>
      <c r="L181" s="2">
        <v>157.41749999999999</v>
      </c>
      <c r="M181" s="1">
        <v>42004</v>
      </c>
      <c r="N181" s="2">
        <v>160.4555</v>
      </c>
      <c r="O181" s="1">
        <v>42034</v>
      </c>
      <c r="P181" s="2">
        <v>130.62100000000001</v>
      </c>
      <c r="Q181" s="1">
        <v>42004</v>
      </c>
      <c r="R181" s="2">
        <v>168.49979999999999</v>
      </c>
      <c r="S181" s="1">
        <v>42004</v>
      </c>
      <c r="T181" s="2">
        <v>475.55950000000001</v>
      </c>
      <c r="U181" s="1">
        <v>42004</v>
      </c>
      <c r="V181" s="2">
        <v>320.30529999999999</v>
      </c>
      <c r="W181" s="1">
        <v>42004</v>
      </c>
      <c r="X181" s="2">
        <v>1969.17</v>
      </c>
      <c r="Y181" s="1">
        <v>42004</v>
      </c>
      <c r="Z181" s="2">
        <v>150.27600000000001</v>
      </c>
      <c r="AA181" s="1">
        <v>42369</v>
      </c>
      <c r="AB181" s="2">
        <v>237.87700000000001</v>
      </c>
      <c r="AC181" s="1">
        <v>42004</v>
      </c>
      <c r="AD181" s="2">
        <v>251.01939999999999</v>
      </c>
      <c r="AE181" s="1">
        <v>42369</v>
      </c>
      <c r="AF181" s="2">
        <v>180.6746</v>
      </c>
      <c r="AG181" s="1">
        <v>42369</v>
      </c>
      <c r="AH181" s="2">
        <v>129.9083</v>
      </c>
      <c r="AI181" s="1">
        <v>42369</v>
      </c>
      <c r="AJ181" s="2">
        <v>333.53489999999999</v>
      </c>
      <c r="AK181" s="1">
        <v>42004</v>
      </c>
      <c r="AL181" s="2">
        <v>4544.84</v>
      </c>
      <c r="AM181" s="1">
        <v>42004</v>
      </c>
      <c r="AN181" s="2">
        <v>1504.43</v>
      </c>
      <c r="AO181" s="1">
        <v>42004</v>
      </c>
      <c r="AP181" s="2">
        <v>2521.6</v>
      </c>
      <c r="AQ181" s="1">
        <v>42004</v>
      </c>
      <c r="AR181" s="2">
        <v>1496.65</v>
      </c>
      <c r="AS181" s="1">
        <v>42004</v>
      </c>
      <c r="AT181" s="2">
        <v>7215.7</v>
      </c>
      <c r="AU181" s="1">
        <v>42004</v>
      </c>
      <c r="AV181" s="2">
        <v>3533.31</v>
      </c>
      <c r="AW181" s="1">
        <v>43465</v>
      </c>
      <c r="AX181" s="2">
        <v>4514.28</v>
      </c>
      <c r="AY181" s="2">
        <v>43404</v>
      </c>
      <c r="AZ181" s="2">
        <v>134.52000000000001</v>
      </c>
      <c r="BC181" s="1">
        <v>42004</v>
      </c>
      <c r="BD181" s="2">
        <v>1.25</v>
      </c>
      <c r="BE181" s="1">
        <v>42004</v>
      </c>
      <c r="BF181" s="2">
        <v>51.676000000000002</v>
      </c>
      <c r="BG181" s="1">
        <v>42004</v>
      </c>
      <c r="BH181" s="2">
        <v>212.55699999999999</v>
      </c>
      <c r="BI181" s="1">
        <v>42004</v>
      </c>
      <c r="BJ181" s="2">
        <v>109.73099999999999</v>
      </c>
      <c r="BK181" s="1">
        <v>42004</v>
      </c>
      <c r="BL181" s="2">
        <v>902.26130000000001</v>
      </c>
      <c r="BM181" s="1">
        <v>43524</v>
      </c>
      <c r="BN181" s="2">
        <v>2873.4760000000001</v>
      </c>
      <c r="BO181" s="1">
        <v>43616</v>
      </c>
      <c r="BP181" s="2">
        <v>356</v>
      </c>
    </row>
    <row r="182" spans="1:68" x14ac:dyDescent="0.25">
      <c r="A182" s="1">
        <v>42034</v>
      </c>
      <c r="B182" s="2">
        <v>2861.0079999999998</v>
      </c>
      <c r="C182" s="1">
        <v>42034</v>
      </c>
      <c r="D182" s="2">
        <v>233.3749</v>
      </c>
      <c r="E182" s="1">
        <v>42034</v>
      </c>
      <c r="F182" s="2">
        <v>213.31299999999999</v>
      </c>
      <c r="G182" s="1">
        <v>42034</v>
      </c>
      <c r="H182" s="2">
        <v>252.1429</v>
      </c>
      <c r="I182" s="1">
        <v>42062</v>
      </c>
      <c r="J182" s="2">
        <v>150.8888</v>
      </c>
      <c r="K182" s="1">
        <v>42034</v>
      </c>
      <c r="L182" s="2">
        <v>158.18770000000001</v>
      </c>
      <c r="M182" s="1">
        <v>42034</v>
      </c>
      <c r="N182" s="2">
        <v>168.6293</v>
      </c>
      <c r="O182" s="1">
        <v>42062</v>
      </c>
      <c r="P182" s="2">
        <v>129.71119999999999</v>
      </c>
      <c r="Q182" s="1">
        <v>42034</v>
      </c>
      <c r="R182" s="2">
        <v>171.89160000000001</v>
      </c>
      <c r="S182" s="1">
        <v>42034</v>
      </c>
      <c r="T182" s="2">
        <v>484.42860000000002</v>
      </c>
      <c r="U182" s="1">
        <v>42034</v>
      </c>
      <c r="V182" s="2">
        <v>321.47160000000002</v>
      </c>
      <c r="W182" s="1">
        <v>42034</v>
      </c>
      <c r="X182" s="2">
        <v>1985.88</v>
      </c>
      <c r="Y182" s="1">
        <v>42034</v>
      </c>
      <c r="Z182" s="2">
        <v>118.883</v>
      </c>
      <c r="AA182" s="1">
        <v>42398</v>
      </c>
      <c r="AB182" s="2">
        <v>235.26490000000001</v>
      </c>
      <c r="AC182" s="1">
        <v>42034</v>
      </c>
      <c r="AD182" s="2">
        <v>243.60140000000001</v>
      </c>
      <c r="AE182" s="1">
        <v>42398</v>
      </c>
      <c r="AF182" s="2">
        <v>179.85980000000001</v>
      </c>
      <c r="AG182" s="1">
        <v>42398</v>
      </c>
      <c r="AH182" s="2">
        <v>120.3006</v>
      </c>
      <c r="AI182" s="1">
        <v>42398</v>
      </c>
      <c r="AJ182" s="2">
        <v>349.56729999999999</v>
      </c>
      <c r="AK182" s="1">
        <v>42034</v>
      </c>
      <c r="AL182" s="2">
        <v>4462.49</v>
      </c>
      <c r="AM182" s="1">
        <v>42034</v>
      </c>
      <c r="AN182" s="2">
        <v>1484.23</v>
      </c>
      <c r="AO182" s="1">
        <v>42034</v>
      </c>
      <c r="AP182" s="2">
        <v>2558.04</v>
      </c>
      <c r="AQ182" s="1">
        <v>42034</v>
      </c>
      <c r="AR182" s="2">
        <v>1493.9</v>
      </c>
      <c r="AS182" s="1">
        <v>42034</v>
      </c>
      <c r="AT182" s="2">
        <v>7008.32</v>
      </c>
      <c r="AU182" s="1">
        <v>42034</v>
      </c>
      <c r="AV182" s="2">
        <v>3505.84</v>
      </c>
      <c r="AW182" s="1">
        <v>43496</v>
      </c>
      <c r="AX182" s="2">
        <v>4767.33</v>
      </c>
      <c r="AY182" s="2">
        <v>43434</v>
      </c>
      <c r="AZ182" s="2">
        <v>133.1</v>
      </c>
      <c r="BC182" s="1">
        <v>42034</v>
      </c>
      <c r="BD182" s="2">
        <v>1.32</v>
      </c>
      <c r="BE182" s="1">
        <v>42034</v>
      </c>
      <c r="BF182" s="2">
        <v>48.435000000000002</v>
      </c>
      <c r="BG182" s="1">
        <v>42034</v>
      </c>
      <c r="BH182" s="2">
        <v>163.649</v>
      </c>
      <c r="BI182" s="1">
        <v>42034</v>
      </c>
      <c r="BJ182" s="2">
        <v>106.586</v>
      </c>
      <c r="BK182" s="1">
        <v>42034</v>
      </c>
      <c r="BL182" s="2">
        <v>899.67729999999995</v>
      </c>
      <c r="BM182" s="1">
        <v>43553</v>
      </c>
      <c r="BN182" s="2">
        <v>2942.6880000000001</v>
      </c>
      <c r="BO182" s="1">
        <v>43644</v>
      </c>
      <c r="BP182" s="2">
        <v>371.54</v>
      </c>
    </row>
    <row r="183" spans="1:68" x14ac:dyDescent="0.25">
      <c r="A183" s="1">
        <v>42062</v>
      </c>
      <c r="B183" s="2">
        <v>2855.143</v>
      </c>
      <c r="C183" s="1">
        <v>42062</v>
      </c>
      <c r="D183" s="2">
        <v>238.65010000000001</v>
      </c>
      <c r="E183" s="1">
        <v>42062</v>
      </c>
      <c r="F183" s="2">
        <v>223.267</v>
      </c>
      <c r="G183" s="1">
        <v>42062</v>
      </c>
      <c r="H183" s="2">
        <v>250.61009999999999</v>
      </c>
      <c r="I183" s="1">
        <v>42094</v>
      </c>
      <c r="J183" s="2">
        <v>152.05289999999999</v>
      </c>
      <c r="K183" s="1">
        <v>42062</v>
      </c>
      <c r="L183" s="2">
        <v>162.184</v>
      </c>
      <c r="M183" s="1">
        <v>42062</v>
      </c>
      <c r="N183" s="2">
        <v>167.01310000000001</v>
      </c>
      <c r="O183" s="1">
        <v>42094</v>
      </c>
      <c r="P183" s="2">
        <v>130.49340000000001</v>
      </c>
      <c r="Q183" s="1">
        <v>42062</v>
      </c>
      <c r="R183" s="2">
        <v>171.1439</v>
      </c>
      <c r="S183" s="1">
        <v>42062</v>
      </c>
      <c r="T183" s="2">
        <v>481.56639999999999</v>
      </c>
      <c r="U183" s="1">
        <v>42062</v>
      </c>
      <c r="V183" s="2">
        <v>318.90449999999998</v>
      </c>
      <c r="W183" s="1">
        <v>42062</v>
      </c>
      <c r="X183" s="2">
        <v>1982.65</v>
      </c>
      <c r="Y183" s="1">
        <v>42062</v>
      </c>
      <c r="Z183" s="2">
        <v>137.06399999999999</v>
      </c>
      <c r="AA183" s="1">
        <v>42429</v>
      </c>
      <c r="AB183" s="2">
        <v>237.3699</v>
      </c>
      <c r="AC183" s="1">
        <v>42062</v>
      </c>
      <c r="AD183" s="2">
        <v>249.44630000000001</v>
      </c>
      <c r="AE183" s="1">
        <v>42429</v>
      </c>
      <c r="AF183" s="2">
        <v>175.78280000000001</v>
      </c>
      <c r="AG183" s="1">
        <v>42429</v>
      </c>
      <c r="AH183" s="2">
        <v>116.6673</v>
      </c>
      <c r="AI183" s="1">
        <v>42429</v>
      </c>
      <c r="AJ183" s="2">
        <v>382.63589999999999</v>
      </c>
      <c r="AK183" s="1">
        <v>42062</v>
      </c>
      <c r="AL183" s="2">
        <v>4723.9399999999996</v>
      </c>
      <c r="AM183" s="1">
        <v>42062</v>
      </c>
      <c r="AN183" s="2">
        <v>1563.58</v>
      </c>
      <c r="AO183" s="1">
        <v>42062</v>
      </c>
      <c r="AP183" s="2">
        <v>2633.78</v>
      </c>
      <c r="AQ183" s="1">
        <v>42062</v>
      </c>
      <c r="AR183" s="2">
        <v>1571.27</v>
      </c>
      <c r="AS183" s="1">
        <v>42062</v>
      </c>
      <c r="AT183" s="2">
        <v>7387.98</v>
      </c>
      <c r="AU183" s="1">
        <v>42062</v>
      </c>
      <c r="AV183" s="2">
        <v>3726.01</v>
      </c>
      <c r="AW183" s="1">
        <v>43524</v>
      </c>
      <c r="AX183" s="2">
        <v>4831.5600000000004</v>
      </c>
      <c r="AY183" s="2">
        <v>43465</v>
      </c>
      <c r="AZ183" s="2">
        <v>120.16</v>
      </c>
      <c r="BC183" s="1">
        <v>42062</v>
      </c>
      <c r="BD183" s="2">
        <v>1.19</v>
      </c>
      <c r="BE183" s="1">
        <v>42062</v>
      </c>
      <c r="BF183" s="2">
        <v>49.255000000000003</v>
      </c>
      <c r="BG183" s="1">
        <v>42062</v>
      </c>
      <c r="BH183" s="2">
        <v>197.78</v>
      </c>
      <c r="BI183" s="1">
        <v>42062</v>
      </c>
      <c r="BJ183" s="2">
        <v>108.988</v>
      </c>
      <c r="BK183" s="1">
        <v>42062</v>
      </c>
      <c r="BL183" s="2">
        <v>889.4402</v>
      </c>
      <c r="BM183" s="1">
        <v>43585</v>
      </c>
      <c r="BN183" s="2">
        <v>3065.5210000000002</v>
      </c>
      <c r="BO183" s="1">
        <v>43677</v>
      </c>
      <c r="BP183" s="2">
        <v>378.62</v>
      </c>
    </row>
    <row r="184" spans="1:68" x14ac:dyDescent="0.25">
      <c r="A184" s="1">
        <v>42094</v>
      </c>
      <c r="B184" s="2">
        <v>2929.2930000000001</v>
      </c>
      <c r="C184" s="1">
        <v>42094</v>
      </c>
      <c r="D184" s="2">
        <v>239.34209999999999</v>
      </c>
      <c r="E184" s="1">
        <v>42094</v>
      </c>
      <c r="F184" s="2">
        <v>222.096</v>
      </c>
      <c r="G184" s="1">
        <v>42094</v>
      </c>
      <c r="H184" s="2">
        <v>243.18129999999999</v>
      </c>
      <c r="I184" s="1">
        <v>42124</v>
      </c>
      <c r="J184" s="2">
        <v>150.38740000000001</v>
      </c>
      <c r="K184" s="1">
        <v>42094</v>
      </c>
      <c r="L184" s="2">
        <v>162.57490000000001</v>
      </c>
      <c r="M184" s="1">
        <v>42094</v>
      </c>
      <c r="N184" s="2">
        <v>168.7715</v>
      </c>
      <c r="O184" s="1">
        <v>42124</v>
      </c>
      <c r="P184" s="2">
        <v>128.89340000000001</v>
      </c>
      <c r="Q184" s="1">
        <v>42094</v>
      </c>
      <c r="R184" s="2">
        <v>173.43289999999999</v>
      </c>
      <c r="S184" s="1">
        <v>42094</v>
      </c>
      <c r="T184" s="2">
        <v>484.32580000000002</v>
      </c>
      <c r="U184" s="1">
        <v>42094</v>
      </c>
      <c r="V184" s="2">
        <v>315.41840000000002</v>
      </c>
      <c r="W184" s="1">
        <v>42094</v>
      </c>
      <c r="X184" s="2">
        <v>1989.99</v>
      </c>
      <c r="Y184" s="1">
        <v>42094</v>
      </c>
      <c r="Z184" s="2">
        <v>136.405</v>
      </c>
      <c r="AA184" s="1">
        <v>42460</v>
      </c>
      <c r="AB184" s="2">
        <v>245.48869999999999</v>
      </c>
      <c r="AC184" s="1">
        <v>42094</v>
      </c>
      <c r="AD184" s="2">
        <v>237.32679999999999</v>
      </c>
      <c r="AE184" s="1">
        <v>42460</v>
      </c>
      <c r="AF184" s="2">
        <v>182.1653</v>
      </c>
      <c r="AG184" s="1">
        <v>42460</v>
      </c>
      <c r="AH184" s="2">
        <v>125.23390000000001</v>
      </c>
      <c r="AI184" s="1">
        <v>42460</v>
      </c>
      <c r="AJ184" s="2">
        <v>385.62450000000001</v>
      </c>
      <c r="AK184" s="1">
        <v>42094</v>
      </c>
      <c r="AL184" s="2">
        <v>4649.99</v>
      </c>
      <c r="AM184" s="1">
        <v>42094</v>
      </c>
      <c r="AN184" s="2">
        <v>1532.79</v>
      </c>
      <c r="AO184" s="1">
        <v>42094</v>
      </c>
      <c r="AP184" s="2">
        <v>2617.77</v>
      </c>
      <c r="AQ184" s="1">
        <v>42094</v>
      </c>
      <c r="AR184" s="2">
        <v>1557.45</v>
      </c>
      <c r="AS184" s="1">
        <v>42094</v>
      </c>
      <c r="AT184" s="2">
        <v>7227.88</v>
      </c>
      <c r="AU184" s="1">
        <v>42094</v>
      </c>
      <c r="AV184" s="2">
        <v>3688.85</v>
      </c>
      <c r="AW184" s="1">
        <v>43553</v>
      </c>
      <c r="AX184" s="2">
        <v>4979.9799999999996</v>
      </c>
      <c r="AY184" s="2">
        <v>43496</v>
      </c>
      <c r="AZ184" s="2">
        <v>133.9</v>
      </c>
      <c r="BC184" s="1">
        <v>42094</v>
      </c>
      <c r="BD184" s="2">
        <v>1.24</v>
      </c>
      <c r="BE184" s="1">
        <v>42094</v>
      </c>
      <c r="BF184" s="2">
        <v>55.137999999999998</v>
      </c>
      <c r="BG184" s="1">
        <v>42094</v>
      </c>
      <c r="BH184" s="2">
        <v>189.77799999999999</v>
      </c>
      <c r="BI184" s="1">
        <v>42094</v>
      </c>
      <c r="BJ184" s="2">
        <v>116.413</v>
      </c>
      <c r="BK184" s="1">
        <v>42094</v>
      </c>
      <c r="BL184" s="2">
        <v>879.58029999999997</v>
      </c>
      <c r="BM184" s="1">
        <v>43616</v>
      </c>
      <c r="BN184" s="2">
        <v>2903.2469999999998</v>
      </c>
      <c r="BO184" s="1">
        <v>43707</v>
      </c>
      <c r="BP184" s="2">
        <v>376.16</v>
      </c>
    </row>
    <row r="185" spans="1:68" x14ac:dyDescent="0.25">
      <c r="A185" s="1">
        <v>42124</v>
      </c>
      <c r="B185" s="2">
        <v>2814.683</v>
      </c>
      <c r="C185" s="1">
        <v>42124</v>
      </c>
      <c r="D185" s="2">
        <v>242.36019999999999</v>
      </c>
      <c r="E185" s="1">
        <v>42124</v>
      </c>
      <c r="F185" s="2">
        <v>221.95099999999999</v>
      </c>
      <c r="G185" s="1">
        <v>42124</v>
      </c>
      <c r="H185" s="2">
        <v>248.16319999999999</v>
      </c>
      <c r="I185" s="1">
        <v>42153</v>
      </c>
      <c r="J185" s="2">
        <v>150.03469999999999</v>
      </c>
      <c r="K185" s="1">
        <v>42124</v>
      </c>
      <c r="L185" s="2">
        <v>163.56870000000001</v>
      </c>
      <c r="M185" s="1">
        <v>42124</v>
      </c>
      <c r="N185" s="2">
        <v>165.84889999999999</v>
      </c>
      <c r="O185" s="1">
        <v>42153</v>
      </c>
      <c r="P185" s="2">
        <v>128.82419999999999</v>
      </c>
      <c r="Q185" s="1">
        <v>42124</v>
      </c>
      <c r="R185" s="2">
        <v>169.75790000000001</v>
      </c>
      <c r="S185" s="1">
        <v>42124</v>
      </c>
      <c r="T185" s="2">
        <v>481.61790000000002</v>
      </c>
      <c r="U185" s="1">
        <v>42124</v>
      </c>
      <c r="V185" s="2">
        <v>322.17989999999998</v>
      </c>
      <c r="W185" s="1">
        <v>42124</v>
      </c>
      <c r="X185" s="2">
        <v>1990.82</v>
      </c>
      <c r="Y185" s="1">
        <v>42124</v>
      </c>
      <c r="Z185" s="2">
        <v>146.077</v>
      </c>
      <c r="AA185" s="1">
        <v>42489</v>
      </c>
      <c r="AB185" s="2">
        <v>264.32080000000002</v>
      </c>
      <c r="AC185" s="1">
        <v>42124</v>
      </c>
      <c r="AD185" s="2">
        <v>248.79560000000001</v>
      </c>
      <c r="AE185" s="1">
        <v>42489</v>
      </c>
      <c r="AF185" s="2">
        <v>190.2423</v>
      </c>
      <c r="AG185" s="1">
        <v>42489</v>
      </c>
      <c r="AH185" s="2">
        <v>141.94550000000001</v>
      </c>
      <c r="AI185" s="1">
        <v>42489</v>
      </c>
      <c r="AJ185" s="2">
        <v>410.7792</v>
      </c>
      <c r="AK185" s="1">
        <v>42124</v>
      </c>
      <c r="AL185" s="2">
        <v>4759.05</v>
      </c>
      <c r="AM185" s="1">
        <v>42124</v>
      </c>
      <c r="AN185" s="2">
        <v>1557.94</v>
      </c>
      <c r="AO185" s="1">
        <v>42124</v>
      </c>
      <c r="AP185" s="2">
        <v>2645.25</v>
      </c>
      <c r="AQ185" s="1">
        <v>42124</v>
      </c>
      <c r="AR185" s="2">
        <v>1562.45</v>
      </c>
      <c r="AS185" s="1">
        <v>42124</v>
      </c>
      <c r="AT185" s="2">
        <v>7454.38</v>
      </c>
      <c r="AU185" s="1">
        <v>42124</v>
      </c>
      <c r="AV185" s="2">
        <v>3748.19</v>
      </c>
      <c r="AW185" s="1">
        <v>43585</v>
      </c>
      <c r="AX185" s="2">
        <v>5027.67</v>
      </c>
      <c r="AY185" s="2">
        <v>43524</v>
      </c>
      <c r="AZ185" s="2">
        <v>138.66999999999999</v>
      </c>
      <c r="BC185" s="1">
        <v>42124</v>
      </c>
      <c r="BD185" s="2">
        <v>1.22</v>
      </c>
      <c r="BE185" s="1">
        <v>42124</v>
      </c>
      <c r="BF185" s="2">
        <v>60.466999999999999</v>
      </c>
      <c r="BG185" s="1">
        <v>42124</v>
      </c>
      <c r="BH185" s="2">
        <v>202.661</v>
      </c>
      <c r="BI185" s="1">
        <v>42124</v>
      </c>
      <c r="BJ185" s="2">
        <v>131.33699999999999</v>
      </c>
      <c r="BK185" s="1">
        <v>42124</v>
      </c>
      <c r="BL185" s="2">
        <v>889.22270000000003</v>
      </c>
      <c r="BM185" s="1">
        <v>43644</v>
      </c>
      <c r="BN185" s="2">
        <v>3103.7359999999999</v>
      </c>
      <c r="BO185" s="1">
        <v>43738</v>
      </c>
      <c r="BP185" s="2">
        <v>391.53</v>
      </c>
    </row>
    <row r="186" spans="1:68" x14ac:dyDescent="0.25">
      <c r="A186" s="1">
        <v>42153</v>
      </c>
      <c r="B186" s="2">
        <v>2789.703</v>
      </c>
      <c r="C186" s="1">
        <v>42153</v>
      </c>
      <c r="D186" s="2">
        <v>241.59180000000001</v>
      </c>
      <c r="E186" s="1">
        <v>42153</v>
      </c>
      <c r="F186" s="2">
        <v>216.24799999999999</v>
      </c>
      <c r="G186" s="1">
        <v>42153</v>
      </c>
      <c r="H186" s="2">
        <v>244.1773</v>
      </c>
      <c r="I186" s="1">
        <v>42185</v>
      </c>
      <c r="J186" s="2">
        <v>148.8785</v>
      </c>
      <c r="K186" s="1">
        <v>42153</v>
      </c>
      <c r="L186" s="2">
        <v>163.43629999999999</v>
      </c>
      <c r="M186" s="1">
        <v>42153</v>
      </c>
      <c r="N186" s="2">
        <v>162.6439</v>
      </c>
      <c r="O186" s="1">
        <v>42185</v>
      </c>
      <c r="P186" s="2">
        <v>128.05770000000001</v>
      </c>
      <c r="Q186" s="1">
        <v>42153</v>
      </c>
      <c r="R186" s="2">
        <v>170.73990000000001</v>
      </c>
      <c r="S186" s="1">
        <v>42153</v>
      </c>
      <c r="T186" s="2">
        <v>479.62150000000003</v>
      </c>
      <c r="U186" s="1">
        <v>42153</v>
      </c>
      <c r="V186" s="2">
        <v>316.75450000000001</v>
      </c>
      <c r="W186" s="1">
        <v>42153</v>
      </c>
      <c r="X186" s="2">
        <v>1990.36</v>
      </c>
      <c r="Y186" s="1">
        <v>42153</v>
      </c>
      <c r="Z186" s="2">
        <v>151.22200000000001</v>
      </c>
      <c r="AA186" s="1">
        <v>42521</v>
      </c>
      <c r="AB186" s="2">
        <v>264.03059999999999</v>
      </c>
      <c r="AC186" s="1">
        <v>42153</v>
      </c>
      <c r="AD186" s="2">
        <v>241.2208</v>
      </c>
      <c r="AE186" s="1">
        <v>42521</v>
      </c>
      <c r="AF186" s="2">
        <v>195.69900000000001</v>
      </c>
      <c r="AG186" s="1">
        <v>42521</v>
      </c>
      <c r="AH186" s="2">
        <v>148.4308</v>
      </c>
      <c r="AI186" s="1">
        <v>42521</v>
      </c>
      <c r="AJ186" s="2">
        <v>383.67239999999998</v>
      </c>
      <c r="AK186" s="1">
        <v>42153</v>
      </c>
      <c r="AL186" s="2">
        <v>4775.4399999999996</v>
      </c>
      <c r="AM186" s="1">
        <v>42153</v>
      </c>
      <c r="AN186" s="2">
        <v>1569.86</v>
      </c>
      <c r="AO186" s="1">
        <v>42153</v>
      </c>
      <c r="AP186" s="2">
        <v>2632.7</v>
      </c>
      <c r="AQ186" s="1">
        <v>42153</v>
      </c>
      <c r="AR186" s="2">
        <v>1592.85</v>
      </c>
      <c r="AS186" s="1">
        <v>42153</v>
      </c>
      <c r="AT186" s="2">
        <v>7444.1</v>
      </c>
      <c r="AU186" s="1">
        <v>42153</v>
      </c>
      <c r="AV186" s="2">
        <v>3778.22</v>
      </c>
      <c r="AW186" s="1">
        <v>43616</v>
      </c>
      <c r="AX186" s="2">
        <v>4987.28</v>
      </c>
      <c r="AY186" s="2">
        <v>43553</v>
      </c>
      <c r="AZ186" s="2">
        <v>138.49</v>
      </c>
      <c r="BC186" s="1">
        <v>42153</v>
      </c>
      <c r="BD186" s="2">
        <v>1.27</v>
      </c>
      <c r="BE186" s="1">
        <v>42153</v>
      </c>
      <c r="BF186" s="2">
        <v>63.448</v>
      </c>
      <c r="BG186" s="1">
        <v>42153</v>
      </c>
      <c r="BH186" s="2">
        <v>211.63800000000001</v>
      </c>
      <c r="BI186" s="1">
        <v>42153</v>
      </c>
      <c r="BJ186" s="2">
        <v>139.40799999999999</v>
      </c>
      <c r="BK186" s="1">
        <v>42153</v>
      </c>
      <c r="BL186" s="2">
        <v>868.37639999999999</v>
      </c>
      <c r="BM186" s="1">
        <v>43677</v>
      </c>
      <c r="BN186" s="2">
        <v>3139.0340000000001</v>
      </c>
      <c r="BO186" s="1">
        <v>43769</v>
      </c>
      <c r="BP186" s="2">
        <v>411.17</v>
      </c>
    </row>
    <row r="187" spans="1:68" x14ac:dyDescent="0.25">
      <c r="A187" s="1">
        <v>42185</v>
      </c>
      <c r="B187" s="2">
        <v>2654.02</v>
      </c>
      <c r="C187" s="1">
        <v>42185</v>
      </c>
      <c r="D187" s="2">
        <v>237.32310000000001</v>
      </c>
      <c r="E187" s="1">
        <v>42185</v>
      </c>
      <c r="F187" s="2">
        <v>209.88300000000001</v>
      </c>
      <c r="G187" s="1">
        <v>42185</v>
      </c>
      <c r="H187" s="2">
        <v>244.98830000000001</v>
      </c>
      <c r="I187" s="1">
        <v>42216</v>
      </c>
      <c r="J187" s="2">
        <v>150.18360000000001</v>
      </c>
      <c r="K187" s="1">
        <v>42185</v>
      </c>
      <c r="L187" s="2">
        <v>160.89830000000001</v>
      </c>
      <c r="M187" s="1">
        <v>42185</v>
      </c>
      <c r="N187" s="2">
        <v>161.1935</v>
      </c>
      <c r="O187" s="1">
        <v>42216</v>
      </c>
      <c r="P187" s="2">
        <v>130.08600000000001</v>
      </c>
      <c r="Q187" s="1">
        <v>42185</v>
      </c>
      <c r="R187" s="2">
        <v>170.42619999999999</v>
      </c>
      <c r="S187" s="1">
        <v>42185</v>
      </c>
      <c r="T187" s="2">
        <v>473.69290000000001</v>
      </c>
      <c r="U187" s="1">
        <v>42185</v>
      </c>
      <c r="V187" s="2">
        <v>315.90100000000001</v>
      </c>
      <c r="W187" s="1">
        <v>42185</v>
      </c>
      <c r="X187" s="2">
        <v>1975.18</v>
      </c>
      <c r="Y187" s="1">
        <v>42185</v>
      </c>
      <c r="Z187" s="2">
        <v>170.63900000000001</v>
      </c>
      <c r="AA187" s="1">
        <v>42551</v>
      </c>
      <c r="AB187" s="2">
        <v>274.7919</v>
      </c>
      <c r="AC187" s="1">
        <v>42185</v>
      </c>
      <c r="AD187" s="2">
        <v>245.4556</v>
      </c>
      <c r="AE187" s="1">
        <v>42551</v>
      </c>
      <c r="AF187" s="2">
        <v>201.6908</v>
      </c>
      <c r="AG187" s="1">
        <v>42551</v>
      </c>
      <c r="AH187" s="2">
        <v>148.4787</v>
      </c>
      <c r="AI187" s="1">
        <v>42551</v>
      </c>
      <c r="AJ187" s="2">
        <v>422.17529999999999</v>
      </c>
      <c r="AK187" s="1">
        <v>42185</v>
      </c>
      <c r="AL187" s="2">
        <v>4664.3999999999996</v>
      </c>
      <c r="AM187" s="1">
        <v>42185</v>
      </c>
      <c r="AN187" s="2">
        <v>1531.64</v>
      </c>
      <c r="AO187" s="1">
        <v>42185</v>
      </c>
      <c r="AP187" s="2">
        <v>2575.16</v>
      </c>
      <c r="AQ187" s="1">
        <v>42185</v>
      </c>
      <c r="AR187" s="2">
        <v>1567.03</v>
      </c>
      <c r="AS187" s="1">
        <v>42185</v>
      </c>
      <c r="AT187" s="2">
        <v>7234.38</v>
      </c>
      <c r="AU187" s="1">
        <v>42185</v>
      </c>
      <c r="AV187" s="2">
        <v>3708.96</v>
      </c>
      <c r="AW187" s="1">
        <v>43644</v>
      </c>
      <c r="AX187" s="2">
        <v>5236.78</v>
      </c>
      <c r="AY187" s="2">
        <v>43585</v>
      </c>
      <c r="AZ187" s="2">
        <v>146.85</v>
      </c>
      <c r="BC187" s="1">
        <v>42185</v>
      </c>
      <c r="BD187" s="2">
        <v>1.37</v>
      </c>
      <c r="BE187" s="1">
        <v>42185</v>
      </c>
      <c r="BF187" s="2">
        <v>70.519000000000005</v>
      </c>
      <c r="BG187" s="1">
        <v>42185</v>
      </c>
      <c r="BH187" s="2">
        <v>234.471</v>
      </c>
      <c r="BI187" s="1">
        <v>42185</v>
      </c>
      <c r="BJ187" s="2">
        <v>147.40299999999999</v>
      </c>
      <c r="BK187" s="1">
        <v>42185</v>
      </c>
      <c r="BL187" s="2">
        <v>865.97760000000005</v>
      </c>
      <c r="BM187" s="1">
        <v>43707</v>
      </c>
      <c r="BN187" s="2">
        <v>3107.5039999999999</v>
      </c>
      <c r="BO187" s="1">
        <v>43798</v>
      </c>
      <c r="BP187" s="2">
        <v>424.96</v>
      </c>
    </row>
    <row r="188" spans="1:68" x14ac:dyDescent="0.25">
      <c r="A188" s="1">
        <v>42216</v>
      </c>
      <c r="B188" s="2">
        <v>2760.348</v>
      </c>
      <c r="C188" s="1">
        <v>42216</v>
      </c>
      <c r="D188" s="2">
        <v>232.06389999999999</v>
      </c>
      <c r="E188" s="1">
        <v>42216</v>
      </c>
      <c r="F188" s="2">
        <v>208.10300000000001</v>
      </c>
      <c r="G188" s="1">
        <v>42216</v>
      </c>
      <c r="H188" s="2">
        <v>240.12889999999999</v>
      </c>
      <c r="I188" s="1">
        <v>42247</v>
      </c>
      <c r="J188" s="2">
        <v>150.44999999999999</v>
      </c>
      <c r="K188" s="1">
        <v>42216</v>
      </c>
      <c r="L188" s="2">
        <v>160.88890000000001</v>
      </c>
      <c r="M188" s="1">
        <v>42216</v>
      </c>
      <c r="N188" s="2">
        <v>161.417</v>
      </c>
      <c r="O188" s="1">
        <v>42247</v>
      </c>
      <c r="P188" s="2">
        <v>130.2646</v>
      </c>
      <c r="Q188" s="1">
        <v>42216</v>
      </c>
      <c r="R188" s="2">
        <v>172.4511</v>
      </c>
      <c r="S188" s="1">
        <v>42216</v>
      </c>
      <c r="T188" s="2">
        <v>478.3845</v>
      </c>
      <c r="U188" s="1">
        <v>42216</v>
      </c>
      <c r="V188" s="2">
        <v>318.21390000000002</v>
      </c>
      <c r="W188" s="1">
        <v>42216</v>
      </c>
      <c r="X188" s="2">
        <v>1987.63</v>
      </c>
      <c r="Y188" s="1">
        <v>42216</v>
      </c>
      <c r="Z188" s="2">
        <v>151.55500000000001</v>
      </c>
      <c r="AA188" s="1">
        <v>42580</v>
      </c>
      <c r="AB188" s="2">
        <v>262.31479999999999</v>
      </c>
      <c r="AC188" s="1">
        <v>42216</v>
      </c>
      <c r="AD188" s="2">
        <v>221.03059999999999</v>
      </c>
      <c r="AE188" s="1">
        <v>42580</v>
      </c>
      <c r="AF188" s="2">
        <v>187.9152</v>
      </c>
      <c r="AG188" s="1">
        <v>42580</v>
      </c>
      <c r="AH188" s="2">
        <v>130.2988</v>
      </c>
      <c r="AI188" s="1">
        <v>42580</v>
      </c>
      <c r="AJ188" s="2">
        <v>438.26319999999998</v>
      </c>
      <c r="AK188" s="1">
        <v>42216</v>
      </c>
      <c r="AL188" s="2">
        <v>4748.12</v>
      </c>
      <c r="AM188" s="1">
        <v>42216</v>
      </c>
      <c r="AN188" s="2">
        <v>1577.09</v>
      </c>
      <c r="AO188" s="1">
        <v>42216</v>
      </c>
      <c r="AP188" s="2">
        <v>2658</v>
      </c>
      <c r="AQ188" s="1">
        <v>42216</v>
      </c>
      <c r="AR188" s="2">
        <v>1616.6</v>
      </c>
      <c r="AS188" s="1">
        <v>42216</v>
      </c>
      <c r="AT188" s="2">
        <v>7294.1</v>
      </c>
      <c r="AU188" s="1">
        <v>42216</v>
      </c>
      <c r="AV188" s="2">
        <v>3811.02</v>
      </c>
      <c r="AW188" s="1">
        <v>43677</v>
      </c>
      <c r="AX188" s="2">
        <v>5265.04</v>
      </c>
      <c r="AY188" s="2">
        <v>43616</v>
      </c>
      <c r="AZ188" s="2">
        <v>140.5</v>
      </c>
      <c r="BC188" s="1">
        <v>42216</v>
      </c>
      <c r="BD188" s="2">
        <v>1.46</v>
      </c>
      <c r="BE188" s="1">
        <v>42216</v>
      </c>
      <c r="BF188" s="2">
        <v>64.972999999999999</v>
      </c>
      <c r="BG188" s="1">
        <v>42216</v>
      </c>
      <c r="BH188" s="2">
        <v>211.399</v>
      </c>
      <c r="BI188" s="1">
        <v>42216</v>
      </c>
      <c r="BJ188" s="2">
        <v>137.578</v>
      </c>
      <c r="BK188" s="1">
        <v>42216</v>
      </c>
      <c r="BL188" s="2">
        <v>870.10140000000001</v>
      </c>
      <c r="BM188" s="1">
        <v>43738</v>
      </c>
      <c r="BN188" s="2">
        <v>3121.68</v>
      </c>
      <c r="BO188" s="1">
        <v>43830</v>
      </c>
      <c r="BP188" s="2">
        <v>433.98</v>
      </c>
    </row>
    <row r="189" spans="1:68" x14ac:dyDescent="0.25">
      <c r="A189" s="1">
        <v>42247</v>
      </c>
      <c r="B189" s="2">
        <v>2701.4830000000002</v>
      </c>
      <c r="C189" s="1">
        <v>42247</v>
      </c>
      <c r="D189" s="2">
        <v>224.24690000000001</v>
      </c>
      <c r="E189" s="1">
        <v>42247</v>
      </c>
      <c r="F189" s="2">
        <v>200.42500000000001</v>
      </c>
      <c r="G189" s="1">
        <v>42247</v>
      </c>
      <c r="H189" s="2">
        <v>233.20939999999999</v>
      </c>
      <c r="I189" s="1">
        <v>42277</v>
      </c>
      <c r="J189" s="2">
        <v>151.91210000000001</v>
      </c>
      <c r="K189" s="1">
        <v>42247</v>
      </c>
      <c r="L189" s="2">
        <v>159.1748</v>
      </c>
      <c r="M189" s="1">
        <v>42247</v>
      </c>
      <c r="N189" s="2">
        <v>161.4393</v>
      </c>
      <c r="O189" s="1">
        <v>42277</v>
      </c>
      <c r="P189" s="2">
        <v>132.2415</v>
      </c>
      <c r="Q189" s="1">
        <v>42247</v>
      </c>
      <c r="R189" s="2">
        <v>175.23089999999999</v>
      </c>
      <c r="S189" s="1">
        <v>42247</v>
      </c>
      <c r="T189" s="2">
        <v>477.09129999999999</v>
      </c>
      <c r="U189" s="1">
        <v>42247</v>
      </c>
      <c r="V189" s="2">
        <v>314.06420000000003</v>
      </c>
      <c r="W189" s="1">
        <v>42247</v>
      </c>
      <c r="X189" s="2">
        <v>1989.31</v>
      </c>
      <c r="Y189" s="1">
        <v>42247</v>
      </c>
      <c r="Z189" s="2">
        <v>147.846</v>
      </c>
      <c r="AA189" s="1">
        <v>42613</v>
      </c>
      <c r="AB189" s="2">
        <v>259.08</v>
      </c>
      <c r="AC189" s="1">
        <v>42247</v>
      </c>
      <c r="AD189" s="2">
        <v>219.03100000000001</v>
      </c>
      <c r="AE189" s="1">
        <v>42613</v>
      </c>
      <c r="AF189" s="2">
        <v>180.2946</v>
      </c>
      <c r="AG189" s="1">
        <v>42613</v>
      </c>
      <c r="AH189" s="2">
        <v>137.13329999999999</v>
      </c>
      <c r="AI189" s="1">
        <v>42613</v>
      </c>
      <c r="AJ189" s="2">
        <v>418.45310000000001</v>
      </c>
      <c r="AK189" s="1">
        <v>42247</v>
      </c>
      <c r="AL189" s="2">
        <v>4433.92</v>
      </c>
      <c r="AM189" s="1">
        <v>42247</v>
      </c>
      <c r="AN189" s="2">
        <v>1476.07</v>
      </c>
      <c r="AO189" s="1">
        <v>42247</v>
      </c>
      <c r="AP189" s="2">
        <v>2542.4299999999998</v>
      </c>
      <c r="AQ189" s="1">
        <v>42247</v>
      </c>
      <c r="AR189" s="2">
        <v>1509.72</v>
      </c>
      <c r="AS189" s="1">
        <v>42247</v>
      </c>
      <c r="AT189" s="2">
        <v>6820.65</v>
      </c>
      <c r="AU189" s="1">
        <v>42247</v>
      </c>
      <c r="AV189" s="2">
        <v>3554.13</v>
      </c>
      <c r="AW189" s="1">
        <v>43707</v>
      </c>
      <c r="AX189" s="2">
        <v>5316.74</v>
      </c>
      <c r="AY189" s="2">
        <v>43644</v>
      </c>
      <c r="AZ189" s="2">
        <v>150.16</v>
      </c>
      <c r="BC189" s="1">
        <v>42247</v>
      </c>
      <c r="BD189" s="2">
        <v>1.55</v>
      </c>
      <c r="BE189" s="1">
        <v>42247</v>
      </c>
      <c r="BF189" s="2">
        <v>66.846000000000004</v>
      </c>
      <c r="BG189" s="1">
        <v>42247</v>
      </c>
      <c r="BH189" s="2">
        <v>221.286</v>
      </c>
      <c r="BI189" s="1">
        <v>42247</v>
      </c>
      <c r="BJ189" s="2">
        <v>141.322</v>
      </c>
      <c r="BK189" s="1">
        <v>42247</v>
      </c>
      <c r="BL189" s="2">
        <v>874.20190000000002</v>
      </c>
      <c r="BM189" s="1">
        <v>43769</v>
      </c>
      <c r="BN189" s="2">
        <v>3215.5259999999998</v>
      </c>
      <c r="BO189" s="1">
        <v>43861</v>
      </c>
      <c r="BP189" s="2">
        <v>427.75</v>
      </c>
    </row>
    <row r="190" spans="1:68" x14ac:dyDescent="0.25">
      <c r="A190" s="1">
        <v>42277</v>
      </c>
      <c r="B190" s="2">
        <v>2763.31</v>
      </c>
      <c r="C190" s="1">
        <v>42277</v>
      </c>
      <c r="D190" s="2">
        <v>221.5753</v>
      </c>
      <c r="E190" s="1">
        <v>42277</v>
      </c>
      <c r="F190" s="2">
        <v>198.41</v>
      </c>
      <c r="G190" s="1">
        <v>42277</v>
      </c>
      <c r="H190" s="2">
        <v>228.31309999999999</v>
      </c>
      <c r="I190" s="1">
        <v>42307</v>
      </c>
      <c r="J190" s="2">
        <v>150.12719999999999</v>
      </c>
      <c r="K190" s="1">
        <v>42277</v>
      </c>
      <c r="L190" s="2">
        <v>160.5188</v>
      </c>
      <c r="M190" s="1">
        <v>42277</v>
      </c>
      <c r="N190" s="2">
        <v>162.3099</v>
      </c>
      <c r="O190" s="1">
        <v>42307</v>
      </c>
      <c r="P190" s="2">
        <v>131.3776</v>
      </c>
      <c r="Q190" s="1">
        <v>42277</v>
      </c>
      <c r="R190" s="2">
        <v>176.20689999999999</v>
      </c>
      <c r="S190" s="1">
        <v>42277</v>
      </c>
      <c r="T190" s="2">
        <v>479.92090000000002</v>
      </c>
      <c r="U190" s="1">
        <v>42277</v>
      </c>
      <c r="V190" s="2">
        <v>311.89010000000002</v>
      </c>
      <c r="W190" s="1">
        <v>42277</v>
      </c>
      <c r="X190" s="2">
        <v>2000.94</v>
      </c>
      <c r="Y190" s="1">
        <v>42277</v>
      </c>
      <c r="Z190" s="2">
        <v>140.387</v>
      </c>
      <c r="AA190" s="1">
        <v>42643</v>
      </c>
      <c r="AB190" s="2">
        <v>266.57510000000002</v>
      </c>
      <c r="AC190" s="1">
        <v>42277</v>
      </c>
      <c r="AD190" s="2">
        <v>212.03049999999999</v>
      </c>
      <c r="AE190" s="1">
        <v>42643</v>
      </c>
      <c r="AF190" s="2">
        <v>180.79400000000001</v>
      </c>
      <c r="AG190" s="1">
        <v>42643</v>
      </c>
      <c r="AH190" s="2">
        <v>144.69550000000001</v>
      </c>
      <c r="AI190" s="1">
        <v>42643</v>
      </c>
      <c r="AJ190" s="2">
        <v>422.58589999999998</v>
      </c>
      <c r="AK190" s="1">
        <v>42277</v>
      </c>
      <c r="AL190" s="2">
        <v>4270.38</v>
      </c>
      <c r="AM190" s="1">
        <v>42277</v>
      </c>
      <c r="AN190" s="2">
        <v>1455.53</v>
      </c>
      <c r="AO190" s="1">
        <v>42277</v>
      </c>
      <c r="AP190" s="2">
        <v>2510.4699999999998</v>
      </c>
      <c r="AQ190" s="1">
        <v>42277</v>
      </c>
      <c r="AR190" s="2">
        <v>1454.38</v>
      </c>
      <c r="AS190" s="1">
        <v>42277</v>
      </c>
      <c r="AT190" s="2">
        <v>6562.49</v>
      </c>
      <c r="AU190" s="1">
        <v>42277</v>
      </c>
      <c r="AV190" s="2">
        <v>3426.37</v>
      </c>
      <c r="AW190" s="1">
        <v>43738</v>
      </c>
      <c r="AX190" s="2">
        <v>5391.97</v>
      </c>
      <c r="AY190" s="2">
        <v>43677</v>
      </c>
      <c r="AZ190" s="2">
        <v>151.69</v>
      </c>
      <c r="BC190" s="1">
        <v>42277</v>
      </c>
      <c r="BD190" s="2">
        <v>1.6</v>
      </c>
      <c r="BE190" s="1">
        <v>42277</v>
      </c>
      <c r="BF190" s="2">
        <v>67.798000000000002</v>
      </c>
      <c r="BG190" s="1">
        <v>42277</v>
      </c>
      <c r="BH190" s="2">
        <v>204.69200000000001</v>
      </c>
      <c r="BI190" s="1">
        <v>42277</v>
      </c>
      <c r="BJ190" s="2">
        <v>149.505</v>
      </c>
      <c r="BK190" s="1">
        <v>42277</v>
      </c>
      <c r="BL190" s="2">
        <v>880.8075</v>
      </c>
      <c r="BM190" s="1">
        <v>43798</v>
      </c>
      <c r="BN190" s="2">
        <v>3327.3240000000001</v>
      </c>
      <c r="BO190" s="1">
        <v>43889</v>
      </c>
      <c r="BP190" s="2">
        <v>398.74</v>
      </c>
    </row>
    <row r="191" spans="1:68" x14ac:dyDescent="0.25">
      <c r="A191" s="1">
        <v>42307</v>
      </c>
      <c r="B191" s="2">
        <v>2691.3589999999999</v>
      </c>
      <c r="C191" s="1">
        <v>42307</v>
      </c>
      <c r="D191" s="2">
        <v>229.75450000000001</v>
      </c>
      <c r="E191" s="1">
        <v>42307</v>
      </c>
      <c r="F191" s="2">
        <v>207.173</v>
      </c>
      <c r="G191" s="1">
        <v>42307</v>
      </c>
      <c r="H191" s="2">
        <v>233.59479999999999</v>
      </c>
      <c r="I191" s="1">
        <v>42338</v>
      </c>
      <c r="J191" s="2">
        <v>151.298</v>
      </c>
      <c r="K191" s="1">
        <v>42307</v>
      </c>
      <c r="L191" s="2">
        <v>157.7826</v>
      </c>
      <c r="M191" s="1">
        <v>42307</v>
      </c>
      <c r="N191" s="2">
        <v>162.56880000000001</v>
      </c>
      <c r="O191" s="1">
        <v>42338</v>
      </c>
      <c r="P191" s="2">
        <v>133.9477</v>
      </c>
      <c r="Q191" s="1">
        <v>42307</v>
      </c>
      <c r="R191" s="2">
        <v>171.8914</v>
      </c>
      <c r="S191" s="1">
        <v>42307</v>
      </c>
      <c r="T191" s="2">
        <v>481.47739999999999</v>
      </c>
      <c r="U191" s="1">
        <v>42307</v>
      </c>
      <c r="V191" s="2">
        <v>314.11320000000001</v>
      </c>
      <c r="W191" s="1">
        <v>42307</v>
      </c>
      <c r="X191" s="2">
        <v>2002.26</v>
      </c>
      <c r="Y191" s="1">
        <v>42307</v>
      </c>
      <c r="Z191" s="2">
        <v>141.40100000000001</v>
      </c>
      <c r="AA191" s="1">
        <v>42674</v>
      </c>
      <c r="AB191" s="2">
        <v>266.17189999999999</v>
      </c>
      <c r="AC191" s="1">
        <v>42307</v>
      </c>
      <c r="AD191" s="2">
        <v>211.6943</v>
      </c>
      <c r="AE191" s="1">
        <v>42674</v>
      </c>
      <c r="AF191" s="2">
        <v>187.846</v>
      </c>
      <c r="AG191" s="1">
        <v>42674</v>
      </c>
      <c r="AH191" s="2">
        <v>141.13640000000001</v>
      </c>
      <c r="AI191" s="1">
        <v>42674</v>
      </c>
      <c r="AJ191" s="2">
        <v>404.96789999999999</v>
      </c>
      <c r="AK191" s="1">
        <v>42307</v>
      </c>
      <c r="AL191" s="2">
        <v>4608.78</v>
      </c>
      <c r="AM191" s="1">
        <v>42307</v>
      </c>
      <c r="AN191" s="2">
        <v>1581.41</v>
      </c>
      <c r="AO191" s="1">
        <v>42307</v>
      </c>
      <c r="AP191" s="2">
        <v>2659.85</v>
      </c>
      <c r="AQ191" s="1">
        <v>42307</v>
      </c>
      <c r="AR191" s="2">
        <v>1555.04</v>
      </c>
      <c r="AS191" s="1">
        <v>42307</v>
      </c>
      <c r="AT191" s="2">
        <v>7065.98</v>
      </c>
      <c r="AU191" s="1">
        <v>42307</v>
      </c>
      <c r="AV191" s="2">
        <v>3706.25</v>
      </c>
      <c r="AW191" s="1">
        <v>43769</v>
      </c>
      <c r="AX191" s="2">
        <v>5451.57</v>
      </c>
      <c r="AY191" s="2">
        <v>43707</v>
      </c>
      <c r="AZ191" s="2">
        <v>151.18</v>
      </c>
      <c r="BC191" s="1">
        <v>42307</v>
      </c>
      <c r="BD191" s="2">
        <v>1.5</v>
      </c>
      <c r="BE191" s="1">
        <v>42307</v>
      </c>
      <c r="BF191" s="2">
        <v>62.204000000000001</v>
      </c>
      <c r="BG191" s="1">
        <v>42307</v>
      </c>
      <c r="BH191" s="2">
        <v>206.58699999999999</v>
      </c>
      <c r="BI191" s="1">
        <v>42307</v>
      </c>
      <c r="BJ191" s="2">
        <v>140.21299999999999</v>
      </c>
      <c r="BK191" s="1">
        <v>42307</v>
      </c>
      <c r="BL191" s="2">
        <v>880.45579999999995</v>
      </c>
      <c r="BM191" s="1">
        <v>43830</v>
      </c>
      <c r="BN191" s="2">
        <v>3426.0830000000001</v>
      </c>
      <c r="BO191" s="1">
        <v>43921</v>
      </c>
      <c r="BP191" s="2">
        <v>354.71</v>
      </c>
    </row>
    <row r="192" spans="1:68" x14ac:dyDescent="0.25">
      <c r="A192" s="1">
        <v>42338</v>
      </c>
      <c r="B192" s="2">
        <v>2783.2130000000002</v>
      </c>
      <c r="C192" s="1">
        <v>42338</v>
      </c>
      <c r="D192" s="2">
        <v>233.7002</v>
      </c>
      <c r="E192" s="1">
        <v>42338</v>
      </c>
      <c r="F192" s="2">
        <v>211.51300000000001</v>
      </c>
      <c r="G192" s="1">
        <v>42338</v>
      </c>
      <c r="H192" s="2">
        <v>229.59950000000001</v>
      </c>
      <c r="I192" s="1">
        <v>42369</v>
      </c>
      <c r="J192" s="2">
        <v>151.09880000000001</v>
      </c>
      <c r="K192" s="1">
        <v>42338</v>
      </c>
      <c r="L192" s="2">
        <v>157.31870000000001</v>
      </c>
      <c r="M192" s="1">
        <v>42338</v>
      </c>
      <c r="N192" s="2">
        <v>161.8613</v>
      </c>
      <c r="O192" s="1">
        <v>42369</v>
      </c>
      <c r="P192" s="2">
        <v>134.2072</v>
      </c>
      <c r="Q192" s="1">
        <v>42338</v>
      </c>
      <c r="R192" s="2">
        <v>173.49680000000001</v>
      </c>
      <c r="S192" s="1">
        <v>42338</v>
      </c>
      <c r="T192" s="2">
        <v>481.69909999999999</v>
      </c>
      <c r="U192" s="1">
        <v>42338</v>
      </c>
      <c r="V192" s="2">
        <v>309.92129999999997</v>
      </c>
      <c r="W192" s="1">
        <v>42338</v>
      </c>
      <c r="X192" s="2">
        <v>1999.54</v>
      </c>
      <c r="Y192" s="1">
        <v>42338</v>
      </c>
      <c r="Z192" s="2">
        <v>127.167</v>
      </c>
      <c r="AA192" s="1">
        <v>42704</v>
      </c>
      <c r="AB192" s="2">
        <v>268.80349999999999</v>
      </c>
      <c r="AC192" s="1">
        <v>42338</v>
      </c>
      <c r="AD192" s="2">
        <v>198.0514</v>
      </c>
      <c r="AE192" s="1">
        <v>42704</v>
      </c>
      <c r="AF192" s="2">
        <v>187.45240000000001</v>
      </c>
      <c r="AG192" s="1">
        <v>42704</v>
      </c>
      <c r="AH192" s="2">
        <v>146.9615</v>
      </c>
      <c r="AI192" s="1">
        <v>42704</v>
      </c>
      <c r="AJ192" s="2">
        <v>372.57010000000002</v>
      </c>
      <c r="AK192" s="1">
        <v>42338</v>
      </c>
      <c r="AL192" s="2">
        <v>4585.8500000000004</v>
      </c>
      <c r="AM192" s="1">
        <v>42338</v>
      </c>
      <c r="AN192" s="2">
        <v>1579.3</v>
      </c>
      <c r="AO192" s="1">
        <v>42338</v>
      </c>
      <c r="AP192" s="2">
        <v>2632.14</v>
      </c>
      <c r="AQ192" s="1">
        <v>42338</v>
      </c>
      <c r="AR192" s="2">
        <v>1557.21</v>
      </c>
      <c r="AS192" s="1">
        <v>42338</v>
      </c>
      <c r="AT192" s="2">
        <v>7005.45</v>
      </c>
      <c r="AU192" s="1">
        <v>42338</v>
      </c>
      <c r="AV192" s="2">
        <v>3700.65</v>
      </c>
      <c r="AW192" s="1">
        <v>43798</v>
      </c>
      <c r="AX192" s="2">
        <v>5465.51</v>
      </c>
      <c r="AY192" s="2">
        <v>43738</v>
      </c>
      <c r="AZ192" s="2">
        <v>154.84</v>
      </c>
      <c r="BC192" s="1">
        <v>42338</v>
      </c>
      <c r="BD192" s="2">
        <v>1.47</v>
      </c>
      <c r="BE192" s="1">
        <v>42338</v>
      </c>
      <c r="BF192" s="2">
        <v>55.978000000000002</v>
      </c>
      <c r="BG192" s="1">
        <v>42338</v>
      </c>
      <c r="BH192" s="2">
        <v>203.31200000000001</v>
      </c>
      <c r="BI192" s="1">
        <v>42338</v>
      </c>
      <c r="BJ192" s="2">
        <v>132.6</v>
      </c>
      <c r="BK192" s="1">
        <v>42338</v>
      </c>
      <c r="BL192" s="2">
        <v>862.13909999999998</v>
      </c>
      <c r="BM192" s="1">
        <v>43861</v>
      </c>
      <c r="BN192" s="2">
        <v>3483.9989999999998</v>
      </c>
      <c r="BO192" s="1">
        <v>43951</v>
      </c>
      <c r="BP192" s="2">
        <v>365.88</v>
      </c>
    </row>
    <row r="193" spans="1:68" x14ac:dyDescent="0.25">
      <c r="A193" s="1">
        <v>42369</v>
      </c>
      <c r="B193" s="2">
        <v>2722.7860000000001</v>
      </c>
      <c r="C193" s="1">
        <v>42369</v>
      </c>
      <c r="D193" s="2">
        <v>226.79089999999999</v>
      </c>
      <c r="E193" s="1">
        <v>42369</v>
      </c>
      <c r="F193" s="2">
        <v>206.04</v>
      </c>
      <c r="G193" s="1">
        <v>42369</v>
      </c>
      <c r="H193" s="2">
        <v>228.79740000000001</v>
      </c>
      <c r="I193" s="1">
        <v>42398</v>
      </c>
      <c r="J193" s="2">
        <v>152.57400000000001</v>
      </c>
      <c r="K193" s="1">
        <v>42369</v>
      </c>
      <c r="L193" s="2">
        <v>156.84739999999999</v>
      </c>
      <c r="M193" s="1">
        <v>42369</v>
      </c>
      <c r="N193" s="2">
        <v>161.0924</v>
      </c>
      <c r="O193" s="1">
        <v>42398</v>
      </c>
      <c r="P193" s="2">
        <v>134.42580000000001</v>
      </c>
      <c r="Q193" s="1">
        <v>42369</v>
      </c>
      <c r="R193" s="2">
        <v>173.12100000000001</v>
      </c>
      <c r="S193" s="1">
        <v>42369</v>
      </c>
      <c r="T193" s="2">
        <v>480.3956</v>
      </c>
      <c r="U193" s="1">
        <v>42369</v>
      </c>
      <c r="V193" s="2">
        <v>304.37819999999999</v>
      </c>
      <c r="W193" s="1">
        <v>42369</v>
      </c>
      <c r="X193" s="2">
        <v>1998.89</v>
      </c>
      <c r="Y193" s="1">
        <v>42369</v>
      </c>
      <c r="Z193" s="2">
        <v>121.76900000000001</v>
      </c>
      <c r="AA193" s="1">
        <v>42734</v>
      </c>
      <c r="AB193" s="2">
        <v>270.95929999999998</v>
      </c>
      <c r="AC193" s="1">
        <v>42369</v>
      </c>
      <c r="AD193" s="2">
        <v>192.0472</v>
      </c>
      <c r="AE193" s="1">
        <v>42734</v>
      </c>
      <c r="AF193" s="2">
        <v>185.40090000000001</v>
      </c>
      <c r="AG193" s="1">
        <v>42734</v>
      </c>
      <c r="AH193" s="2">
        <v>159.82400000000001</v>
      </c>
      <c r="AI193" s="1">
        <v>42734</v>
      </c>
      <c r="AJ193" s="2">
        <v>364.69639999999998</v>
      </c>
      <c r="AK193" s="1">
        <v>42369</v>
      </c>
      <c r="AL193" s="2">
        <v>4505.24</v>
      </c>
      <c r="AM193" s="1">
        <v>42369</v>
      </c>
      <c r="AN193" s="2">
        <v>1560.26</v>
      </c>
      <c r="AO193" s="1">
        <v>42369</v>
      </c>
      <c r="AP193" s="2">
        <v>2651.77</v>
      </c>
      <c r="AQ193" s="1">
        <v>42369</v>
      </c>
      <c r="AR193" s="2">
        <v>1557.46</v>
      </c>
      <c r="AS193" s="1">
        <v>42369</v>
      </c>
      <c r="AT193" s="2">
        <v>6867.64</v>
      </c>
      <c r="AU193" s="1">
        <v>42369</v>
      </c>
      <c r="AV193" s="2">
        <v>3643.28</v>
      </c>
      <c r="AW193" s="1">
        <v>43830</v>
      </c>
      <c r="AX193" s="2">
        <v>5545.34</v>
      </c>
      <c r="AY193" s="2">
        <v>43769</v>
      </c>
      <c r="AZ193" s="2">
        <v>157.94999999999999</v>
      </c>
      <c r="BC193" s="1">
        <v>42369</v>
      </c>
      <c r="BD193" s="2">
        <v>1.55</v>
      </c>
      <c r="BE193" s="1">
        <v>42369</v>
      </c>
      <c r="BF193" s="2">
        <v>50.792000000000002</v>
      </c>
      <c r="BG193" s="1">
        <v>42369</v>
      </c>
      <c r="BH193" s="2">
        <v>210.15899999999999</v>
      </c>
      <c r="BI193" s="1">
        <v>42369</v>
      </c>
      <c r="BJ193" s="2">
        <v>125.435</v>
      </c>
      <c r="BK193" s="1">
        <v>42369</v>
      </c>
      <c r="BL193" s="2">
        <v>870.00599999999997</v>
      </c>
      <c r="BM193" s="1">
        <v>43889</v>
      </c>
      <c r="BN193" s="2">
        <v>3227.7310000000002</v>
      </c>
      <c r="BO193" s="1">
        <v>43980</v>
      </c>
      <c r="BP193" s="2">
        <v>388.33</v>
      </c>
    </row>
    <row r="194" spans="1:68" x14ac:dyDescent="0.25">
      <c r="A194" s="1">
        <v>42398</v>
      </c>
      <c r="B194" s="2">
        <v>2825.1</v>
      </c>
      <c r="C194" s="1">
        <v>42398</v>
      </c>
      <c r="D194" s="2">
        <v>225.40110000000001</v>
      </c>
      <c r="E194" s="1">
        <v>42398</v>
      </c>
      <c r="F194" s="2">
        <v>203.57900000000001</v>
      </c>
      <c r="G194" s="1">
        <v>42398</v>
      </c>
      <c r="H194" s="2">
        <v>225.97059999999999</v>
      </c>
      <c r="I194" s="1">
        <v>42429</v>
      </c>
      <c r="J194" s="2">
        <v>153.1233</v>
      </c>
      <c r="K194" s="1">
        <v>42398</v>
      </c>
      <c r="L194" s="2">
        <v>159.1165</v>
      </c>
      <c r="M194" s="1">
        <v>42398</v>
      </c>
      <c r="N194" s="2">
        <v>164.7595</v>
      </c>
      <c r="O194" s="1">
        <v>42429</v>
      </c>
      <c r="P194" s="2">
        <v>134.881</v>
      </c>
      <c r="Q194" s="1">
        <v>42398</v>
      </c>
      <c r="R194" s="2">
        <v>174.4785</v>
      </c>
      <c r="S194" s="1">
        <v>42398</v>
      </c>
      <c r="T194" s="2">
        <v>487.42309999999998</v>
      </c>
      <c r="U194" s="1">
        <v>42398</v>
      </c>
      <c r="V194" s="2">
        <v>307.05869999999999</v>
      </c>
      <c r="W194" s="1">
        <v>42398</v>
      </c>
      <c r="X194" s="2">
        <v>2024.83</v>
      </c>
      <c r="Y194" s="1">
        <v>42398</v>
      </c>
      <c r="Z194" s="2">
        <v>114.325</v>
      </c>
      <c r="AA194" s="1">
        <v>42766</v>
      </c>
      <c r="AB194" s="2">
        <v>275.7944</v>
      </c>
      <c r="AC194" s="1">
        <v>42398</v>
      </c>
      <c r="AD194" s="2">
        <v>189.517</v>
      </c>
      <c r="AE194" s="1">
        <v>42766</v>
      </c>
      <c r="AF194" s="2">
        <v>190.05500000000001</v>
      </c>
      <c r="AG194" s="1">
        <v>42766</v>
      </c>
      <c r="AH194" s="2">
        <v>152.6729</v>
      </c>
      <c r="AI194" s="1">
        <v>42766</v>
      </c>
      <c r="AJ194" s="2">
        <v>386.44110000000001</v>
      </c>
      <c r="AK194" s="1">
        <v>42398</v>
      </c>
      <c r="AL194" s="2">
        <v>4235.72</v>
      </c>
      <c r="AM194" s="1">
        <v>42398</v>
      </c>
      <c r="AN194" s="2">
        <v>1493.62</v>
      </c>
      <c r="AO194" s="1">
        <v>42398</v>
      </c>
      <c r="AP194" s="2">
        <v>2607.6</v>
      </c>
      <c r="AQ194" s="1">
        <v>42398</v>
      </c>
      <c r="AR194" s="2">
        <v>1490.64</v>
      </c>
      <c r="AS194" s="1">
        <v>42398</v>
      </c>
      <c r="AT194" s="2">
        <v>6474.2</v>
      </c>
      <c r="AU194" s="1">
        <v>42398</v>
      </c>
      <c r="AV194" s="2">
        <v>3416.24</v>
      </c>
      <c r="AW194" s="1">
        <v>43861</v>
      </c>
      <c r="AX194" s="2">
        <v>5534</v>
      </c>
      <c r="AY194" s="2">
        <v>43798</v>
      </c>
      <c r="AZ194" s="2">
        <v>163.37</v>
      </c>
      <c r="BC194" s="1">
        <v>42398</v>
      </c>
      <c r="BD194" s="2">
        <v>1.81</v>
      </c>
      <c r="BE194" s="1">
        <v>42398</v>
      </c>
      <c r="BF194" s="2">
        <v>59.128999999999998</v>
      </c>
      <c r="BG194" s="1">
        <v>42398</v>
      </c>
      <c r="BH194" s="2">
        <v>160.54900000000001</v>
      </c>
      <c r="BI194" s="1">
        <v>42398</v>
      </c>
      <c r="BJ194" s="2">
        <v>141.422</v>
      </c>
      <c r="BK194" s="1">
        <v>42398</v>
      </c>
      <c r="BL194" s="2">
        <v>881.86929999999995</v>
      </c>
      <c r="BM194" s="1">
        <v>43921</v>
      </c>
      <c r="BN194" s="2">
        <v>2905.5740000000001</v>
      </c>
      <c r="BO194" s="1">
        <v>44012</v>
      </c>
      <c r="BP194" s="2">
        <v>375.61</v>
      </c>
    </row>
    <row r="195" spans="1:68" x14ac:dyDescent="0.25">
      <c r="A195" s="1">
        <v>42429</v>
      </c>
      <c r="B195" s="2">
        <v>2893.1779999999999</v>
      </c>
      <c r="C195" s="1">
        <v>42429</v>
      </c>
      <c r="D195" s="2">
        <v>227.13300000000001</v>
      </c>
      <c r="E195" s="1">
        <v>42429</v>
      </c>
      <c r="F195" s="2">
        <v>204.334</v>
      </c>
      <c r="G195" s="1">
        <v>42429</v>
      </c>
      <c r="H195" s="2">
        <v>229.0446</v>
      </c>
      <c r="I195" s="1">
        <v>42460</v>
      </c>
      <c r="J195" s="2">
        <v>151.7508</v>
      </c>
      <c r="K195" s="1">
        <v>42429</v>
      </c>
      <c r="L195" s="2">
        <v>159.9956</v>
      </c>
      <c r="M195" s="1">
        <v>42429</v>
      </c>
      <c r="N195" s="2">
        <v>167.67060000000001</v>
      </c>
      <c r="O195" s="1">
        <v>42460</v>
      </c>
      <c r="P195" s="2">
        <v>133.7381</v>
      </c>
      <c r="Q195" s="1">
        <v>42429</v>
      </c>
      <c r="R195" s="2">
        <v>172.77610000000001</v>
      </c>
      <c r="S195" s="1">
        <v>42429</v>
      </c>
      <c r="T195" s="2">
        <v>492.10809999999998</v>
      </c>
      <c r="U195" s="1">
        <v>42429</v>
      </c>
      <c r="V195" s="2">
        <v>307.42489999999998</v>
      </c>
      <c r="W195" s="1">
        <v>42429</v>
      </c>
      <c r="X195" s="2">
        <v>2032.39</v>
      </c>
      <c r="Y195" s="1">
        <v>42429</v>
      </c>
      <c r="Z195" s="2">
        <v>95.71</v>
      </c>
      <c r="AA195" s="1">
        <v>42794</v>
      </c>
      <c r="AB195" s="2">
        <v>279.15030000000002</v>
      </c>
      <c r="AC195" s="1">
        <v>42429</v>
      </c>
      <c r="AD195" s="2">
        <v>187.8758</v>
      </c>
      <c r="AE195" s="1">
        <v>42794</v>
      </c>
      <c r="AF195" s="2">
        <v>191.4846</v>
      </c>
      <c r="AG195" s="1">
        <v>42794</v>
      </c>
      <c r="AH195" s="2">
        <v>151.8751</v>
      </c>
      <c r="AI195" s="1">
        <v>42794</v>
      </c>
      <c r="AJ195" s="2">
        <v>401.2253</v>
      </c>
      <c r="AK195" s="1">
        <v>42429</v>
      </c>
      <c r="AL195" s="2">
        <v>4204.1899999999996</v>
      </c>
      <c r="AM195" s="1">
        <v>42429</v>
      </c>
      <c r="AN195" s="2">
        <v>1489.57</v>
      </c>
      <c r="AO195" s="1">
        <v>42429</v>
      </c>
      <c r="AP195" s="2">
        <v>2662.44</v>
      </c>
      <c r="AQ195" s="1">
        <v>42429</v>
      </c>
      <c r="AR195" s="2">
        <v>1471.35</v>
      </c>
      <c r="AS195" s="1">
        <v>42429</v>
      </c>
      <c r="AT195" s="2">
        <v>6429.37</v>
      </c>
      <c r="AU195" s="1">
        <v>42429</v>
      </c>
      <c r="AV195" s="2">
        <v>3389.08</v>
      </c>
      <c r="AW195" s="1">
        <v>43889</v>
      </c>
      <c r="AX195" s="2">
        <v>5361.13</v>
      </c>
      <c r="AY195" s="2">
        <v>43830</v>
      </c>
      <c r="AZ195" s="2">
        <v>167.47</v>
      </c>
      <c r="BC195" s="1">
        <v>42429</v>
      </c>
      <c r="BD195" s="2">
        <v>1.84</v>
      </c>
      <c r="BE195" s="1">
        <v>42429</v>
      </c>
      <c r="BF195" s="2">
        <v>52.085999999999999</v>
      </c>
      <c r="BG195" s="1">
        <v>42429</v>
      </c>
      <c r="BH195" s="2">
        <v>141.42500000000001</v>
      </c>
      <c r="BI195" s="1">
        <v>42429</v>
      </c>
      <c r="BJ195" s="2">
        <v>140.16900000000001</v>
      </c>
      <c r="BK195" s="1">
        <v>42429</v>
      </c>
      <c r="BL195" s="2">
        <v>907.57240000000002</v>
      </c>
      <c r="BM195" s="1">
        <v>43951</v>
      </c>
      <c r="BN195" s="2">
        <v>3276.6</v>
      </c>
      <c r="BO195" s="1">
        <v>44043</v>
      </c>
      <c r="BP195" s="2">
        <v>396.78</v>
      </c>
    </row>
    <row r="196" spans="1:68" x14ac:dyDescent="0.25">
      <c r="A196" s="1">
        <v>42460</v>
      </c>
      <c r="B196" s="2">
        <v>2808.8330000000001</v>
      </c>
      <c r="C196" s="1">
        <v>42460</v>
      </c>
      <c r="D196" s="2">
        <v>234.18799999999999</v>
      </c>
      <c r="E196" s="1">
        <v>42460</v>
      </c>
      <c r="F196" s="2">
        <v>207.059</v>
      </c>
      <c r="G196" s="1">
        <v>42460</v>
      </c>
      <c r="H196" s="2">
        <v>242.84630000000001</v>
      </c>
      <c r="I196" s="1">
        <v>42489</v>
      </c>
      <c r="J196" s="2">
        <v>150.99549999999999</v>
      </c>
      <c r="K196" s="1">
        <v>42460</v>
      </c>
      <c r="L196" s="2">
        <v>157.67519999999999</v>
      </c>
      <c r="M196" s="1">
        <v>42460</v>
      </c>
      <c r="N196" s="2">
        <v>166.6636</v>
      </c>
      <c r="O196" s="1">
        <v>42489</v>
      </c>
      <c r="P196" s="2">
        <v>133.06180000000001</v>
      </c>
      <c r="Q196" s="1">
        <v>42460</v>
      </c>
      <c r="R196" s="2">
        <v>171.6266</v>
      </c>
      <c r="S196" s="1">
        <v>42460</v>
      </c>
      <c r="T196" s="2">
        <v>496.15940000000001</v>
      </c>
      <c r="U196" s="1">
        <v>42460</v>
      </c>
      <c r="V196" s="2">
        <v>318.69490000000002</v>
      </c>
      <c r="W196" s="1">
        <v>42460</v>
      </c>
      <c r="X196" s="2">
        <v>2038.4</v>
      </c>
      <c r="Y196" s="1">
        <v>42460</v>
      </c>
      <c r="Z196" s="2">
        <v>104.364</v>
      </c>
      <c r="AA196" s="1">
        <v>42825</v>
      </c>
      <c r="AB196" s="2">
        <v>271.74599999999998</v>
      </c>
      <c r="AC196" s="1">
        <v>42460</v>
      </c>
      <c r="AD196" s="2">
        <v>195.0461</v>
      </c>
      <c r="AE196" s="1">
        <v>42825</v>
      </c>
      <c r="AF196" s="2">
        <v>184.14400000000001</v>
      </c>
      <c r="AG196" s="1">
        <v>42825</v>
      </c>
      <c r="AH196" s="2">
        <v>145.38409999999999</v>
      </c>
      <c r="AI196" s="1">
        <v>42825</v>
      </c>
      <c r="AJ196" s="2">
        <v>399.06740000000002</v>
      </c>
      <c r="AK196" s="1">
        <v>42460</v>
      </c>
      <c r="AL196" s="2">
        <v>4489.49</v>
      </c>
      <c r="AM196" s="1">
        <v>42460</v>
      </c>
      <c r="AN196" s="2">
        <v>1582.36</v>
      </c>
      <c r="AO196" s="1">
        <v>42460</v>
      </c>
      <c r="AP196" s="2">
        <v>2812.37</v>
      </c>
      <c r="AQ196" s="1">
        <v>42460</v>
      </c>
      <c r="AR196" s="2">
        <v>1552.3</v>
      </c>
      <c r="AS196" s="1">
        <v>42460</v>
      </c>
      <c r="AT196" s="2">
        <v>6869.85</v>
      </c>
      <c r="AU196" s="1">
        <v>42460</v>
      </c>
      <c r="AV196" s="2">
        <v>3616.86</v>
      </c>
      <c r="AW196" s="1">
        <v>43921</v>
      </c>
      <c r="AX196" s="2">
        <v>4786.12</v>
      </c>
      <c r="AY196" s="2">
        <v>43861</v>
      </c>
      <c r="AZ196" s="2">
        <v>171.57</v>
      </c>
      <c r="BC196" s="1">
        <v>42460</v>
      </c>
      <c r="BD196" s="2">
        <v>1.54</v>
      </c>
      <c r="BE196" s="1">
        <v>42460</v>
      </c>
      <c r="BF196" s="2">
        <v>56.228000000000002</v>
      </c>
      <c r="BG196" s="1">
        <v>42460</v>
      </c>
      <c r="BH196" s="2">
        <v>156.52199999999999</v>
      </c>
      <c r="BI196" s="1">
        <v>42460</v>
      </c>
      <c r="BJ196" s="2">
        <v>140.476</v>
      </c>
      <c r="BK196" s="1">
        <v>42460</v>
      </c>
      <c r="BL196" s="2">
        <v>931.68370000000004</v>
      </c>
      <c r="BM196" s="1">
        <v>43980</v>
      </c>
      <c r="BN196" s="2">
        <v>3433.2739999999999</v>
      </c>
      <c r="BO196" s="1">
        <v>44074</v>
      </c>
      <c r="BP196" s="2">
        <v>405.11</v>
      </c>
    </row>
    <row r="197" spans="1:68" x14ac:dyDescent="0.25">
      <c r="A197" s="1">
        <v>42489</v>
      </c>
      <c r="B197" s="2">
        <v>2705.8870000000002</v>
      </c>
      <c r="C197" s="1">
        <v>42489</v>
      </c>
      <c r="D197" s="2">
        <v>237.26439999999999</v>
      </c>
      <c r="E197" s="1">
        <v>42489</v>
      </c>
      <c r="F197" s="2">
        <v>207.56800000000001</v>
      </c>
      <c r="G197" s="1">
        <v>42489</v>
      </c>
      <c r="H197" s="2">
        <v>245.53700000000001</v>
      </c>
      <c r="I197" s="1">
        <v>42521</v>
      </c>
      <c r="J197" s="2">
        <v>150.1712</v>
      </c>
      <c r="K197" s="1">
        <v>42489</v>
      </c>
      <c r="L197" s="2">
        <v>156.3631</v>
      </c>
      <c r="M197" s="1">
        <v>42489</v>
      </c>
      <c r="N197" s="2">
        <v>164.8768</v>
      </c>
      <c r="O197" s="1">
        <v>42521</v>
      </c>
      <c r="P197" s="2">
        <v>132.14439999999999</v>
      </c>
      <c r="Q197" s="1">
        <v>42489</v>
      </c>
      <c r="R197" s="2">
        <v>172.20419999999999</v>
      </c>
      <c r="S197" s="1">
        <v>42489</v>
      </c>
      <c r="T197" s="2">
        <v>497.00189999999998</v>
      </c>
      <c r="U197" s="1">
        <v>42489</v>
      </c>
      <c r="V197" s="2">
        <v>319.53489999999999</v>
      </c>
      <c r="W197" s="1">
        <v>42489</v>
      </c>
      <c r="X197" s="2">
        <v>2041.7</v>
      </c>
      <c r="Y197" s="1">
        <v>42489</v>
      </c>
      <c r="Z197" s="2">
        <v>104.768</v>
      </c>
      <c r="AA197" s="1">
        <v>42853</v>
      </c>
      <c r="AB197" s="2">
        <v>270.11180000000002</v>
      </c>
      <c r="AC197" s="1">
        <v>42489</v>
      </c>
      <c r="AD197" s="2">
        <v>210.3587</v>
      </c>
      <c r="AE197" s="1">
        <v>42853</v>
      </c>
      <c r="AF197" s="2">
        <v>187.90700000000001</v>
      </c>
      <c r="AG197" s="1">
        <v>42853</v>
      </c>
      <c r="AH197" s="2">
        <v>140.61609999999999</v>
      </c>
      <c r="AI197" s="1">
        <v>42853</v>
      </c>
      <c r="AJ197" s="2">
        <v>398.99459999999999</v>
      </c>
      <c r="AK197" s="1">
        <v>42489</v>
      </c>
      <c r="AL197" s="2">
        <v>4560.53</v>
      </c>
      <c r="AM197" s="1">
        <v>42489</v>
      </c>
      <c r="AN197" s="2">
        <v>1567.37</v>
      </c>
      <c r="AO197" s="1">
        <v>42489</v>
      </c>
      <c r="AP197" s="2">
        <v>2840.94</v>
      </c>
      <c r="AQ197" s="1">
        <v>42489</v>
      </c>
      <c r="AR197" s="2">
        <v>1555.07</v>
      </c>
      <c r="AS197" s="1">
        <v>42489</v>
      </c>
      <c r="AT197" s="2">
        <v>7040.08</v>
      </c>
      <c r="AU197" s="1">
        <v>42489</v>
      </c>
      <c r="AV197" s="2">
        <v>3642</v>
      </c>
      <c r="AW197" s="1">
        <v>43951</v>
      </c>
      <c r="AX197" s="2">
        <v>4899.84</v>
      </c>
      <c r="AY197" s="2">
        <v>43889</v>
      </c>
      <c r="AZ197" s="2">
        <v>153.61000000000001</v>
      </c>
      <c r="BC197" s="1">
        <v>42489</v>
      </c>
      <c r="BD197" s="2">
        <v>1.39</v>
      </c>
      <c r="BE197" s="1">
        <v>42489</v>
      </c>
      <c r="BF197" s="2">
        <v>53.768000000000001</v>
      </c>
      <c r="BG197" s="1">
        <v>42489</v>
      </c>
      <c r="BH197" s="2">
        <v>161.96700000000001</v>
      </c>
      <c r="BI197" s="1">
        <v>42489</v>
      </c>
      <c r="BJ197" s="2">
        <v>138.16800000000001</v>
      </c>
      <c r="BK197" s="1">
        <v>42489</v>
      </c>
      <c r="BL197" s="2">
        <v>943.39200000000005</v>
      </c>
      <c r="BM197" s="1">
        <v>44012</v>
      </c>
      <c r="BN197" s="2">
        <v>3666.857</v>
      </c>
      <c r="BO197" s="1">
        <v>44104</v>
      </c>
      <c r="BP197" s="2">
        <v>409.35</v>
      </c>
    </row>
    <row r="198" spans="1:68" x14ac:dyDescent="0.25">
      <c r="A198" s="1">
        <v>42521</v>
      </c>
      <c r="B198" s="2">
        <v>2632.9789999999998</v>
      </c>
      <c r="C198" s="1">
        <v>42521</v>
      </c>
      <c r="D198" s="2">
        <v>235.04679999999999</v>
      </c>
      <c r="E198" s="1">
        <v>42521</v>
      </c>
      <c r="F198" s="2">
        <v>206.86699999999999</v>
      </c>
      <c r="G198" s="1">
        <v>42521</v>
      </c>
      <c r="H198" s="2">
        <v>235.93600000000001</v>
      </c>
      <c r="I198" s="1">
        <v>42551</v>
      </c>
      <c r="J198" s="2">
        <v>150.69239999999999</v>
      </c>
      <c r="K198" s="1">
        <v>42521</v>
      </c>
      <c r="L198" s="2">
        <v>155.17830000000001</v>
      </c>
      <c r="M198" s="1">
        <v>42521</v>
      </c>
      <c r="N198" s="2">
        <v>166.16540000000001</v>
      </c>
      <c r="O198" s="1">
        <v>42551</v>
      </c>
      <c r="P198" s="2">
        <v>132.25630000000001</v>
      </c>
      <c r="Q198" s="1">
        <v>42521</v>
      </c>
      <c r="R198" s="2">
        <v>170.16929999999999</v>
      </c>
      <c r="S198" s="1">
        <v>42521</v>
      </c>
      <c r="T198" s="2">
        <v>499.1028</v>
      </c>
      <c r="U198" s="1">
        <v>42521</v>
      </c>
      <c r="V198" s="2">
        <v>317.82369999999997</v>
      </c>
      <c r="W198" s="1">
        <v>42521</v>
      </c>
      <c r="X198" s="2">
        <v>2044.34</v>
      </c>
      <c r="Y198" s="1">
        <v>42521</v>
      </c>
      <c r="Z198" s="2">
        <v>96.491</v>
      </c>
      <c r="AA198" s="1">
        <v>42886</v>
      </c>
      <c r="AB198" s="2">
        <v>267.03280000000001</v>
      </c>
      <c r="AC198" s="1">
        <v>42521</v>
      </c>
      <c r="AD198" s="2">
        <v>209.82689999999999</v>
      </c>
      <c r="AE198" s="1">
        <v>42886</v>
      </c>
      <c r="AF198" s="2">
        <v>185.4254</v>
      </c>
      <c r="AG198" s="1">
        <v>42886</v>
      </c>
      <c r="AH198" s="2">
        <v>137.43279999999999</v>
      </c>
      <c r="AI198" s="1">
        <v>42886</v>
      </c>
      <c r="AJ198" s="2">
        <v>400.9119</v>
      </c>
      <c r="AK198" s="1">
        <v>42521</v>
      </c>
      <c r="AL198" s="2">
        <v>4586.1400000000003</v>
      </c>
      <c r="AM198" s="1">
        <v>42521</v>
      </c>
      <c r="AN198" s="2">
        <v>1586.83</v>
      </c>
      <c r="AO198" s="1">
        <v>42521</v>
      </c>
      <c r="AP198" s="2">
        <v>2835.91</v>
      </c>
      <c r="AQ198" s="1">
        <v>42521</v>
      </c>
      <c r="AR198" s="2">
        <v>1586.52</v>
      </c>
      <c r="AS198" s="1">
        <v>42521</v>
      </c>
      <c r="AT198" s="2">
        <v>7052.24</v>
      </c>
      <c r="AU198" s="1">
        <v>42521</v>
      </c>
      <c r="AV198" s="2">
        <v>3676.74</v>
      </c>
      <c r="AW198" s="1">
        <v>43980</v>
      </c>
      <c r="AX198" s="2">
        <v>5170.0200000000004</v>
      </c>
      <c r="AY198" s="2">
        <v>43921</v>
      </c>
      <c r="AZ198" s="2">
        <v>108.75</v>
      </c>
      <c r="BC198" s="1">
        <v>42521</v>
      </c>
      <c r="BD198" s="2">
        <v>1.41</v>
      </c>
      <c r="BE198" s="1">
        <v>42521</v>
      </c>
      <c r="BF198" s="2">
        <v>47.084000000000003</v>
      </c>
      <c r="BG198" s="1">
        <v>42521</v>
      </c>
      <c r="BH198" s="2">
        <v>155.59</v>
      </c>
      <c r="BI198" s="1">
        <v>42521</v>
      </c>
      <c r="BJ198" s="2">
        <v>127.294</v>
      </c>
      <c r="BK198" s="1">
        <v>42521</v>
      </c>
      <c r="BL198" s="2">
        <v>929.14850000000001</v>
      </c>
      <c r="BM198" s="1">
        <v>44043</v>
      </c>
      <c r="BN198" s="2">
        <v>3918.547</v>
      </c>
      <c r="BO198" s="1">
        <v>44134</v>
      </c>
      <c r="BP198" s="2">
        <v>400.18</v>
      </c>
    </row>
    <row r="199" spans="1:68" x14ac:dyDescent="0.25">
      <c r="A199" s="1">
        <v>42551</v>
      </c>
      <c r="B199" s="2">
        <v>2774.2370000000001</v>
      </c>
      <c r="C199" s="1">
        <v>42551</v>
      </c>
      <c r="D199" s="2">
        <v>245.0265</v>
      </c>
      <c r="E199" s="1">
        <v>42551</v>
      </c>
      <c r="F199" s="2">
        <v>213.72800000000001</v>
      </c>
      <c r="G199" s="1">
        <v>42551</v>
      </c>
      <c r="H199" s="2">
        <v>243.8724</v>
      </c>
      <c r="I199" s="1">
        <v>42580</v>
      </c>
      <c r="J199" s="2">
        <v>151.4093</v>
      </c>
      <c r="K199" s="1">
        <v>42551</v>
      </c>
      <c r="L199" s="2">
        <v>152.643</v>
      </c>
      <c r="M199" s="1">
        <v>42551</v>
      </c>
      <c r="N199" s="2">
        <v>173.7739</v>
      </c>
      <c r="O199" s="1">
        <v>42580</v>
      </c>
      <c r="P199" s="2">
        <v>133.35169999999999</v>
      </c>
      <c r="Q199" s="1">
        <v>42551</v>
      </c>
      <c r="R199" s="2">
        <v>169.04239999999999</v>
      </c>
      <c r="S199" s="1">
        <v>42551</v>
      </c>
      <c r="T199" s="2">
        <v>508.6037</v>
      </c>
      <c r="U199" s="1">
        <v>42551</v>
      </c>
      <c r="V199" s="2">
        <v>323.94690000000003</v>
      </c>
      <c r="W199" s="1">
        <v>42551</v>
      </c>
      <c r="X199" s="2">
        <v>2060.9499999999998</v>
      </c>
      <c r="Y199" s="1">
        <v>42551</v>
      </c>
      <c r="Z199" s="2">
        <v>88.409000000000006</v>
      </c>
      <c r="AA199" s="1">
        <v>42916</v>
      </c>
      <c r="AB199" s="2">
        <v>266.46230000000003</v>
      </c>
      <c r="AC199" s="1">
        <v>42551</v>
      </c>
      <c r="AD199" s="2">
        <v>219.40209999999999</v>
      </c>
      <c r="AE199" s="1">
        <v>42916</v>
      </c>
      <c r="AF199" s="2">
        <v>188.51920000000001</v>
      </c>
      <c r="AG199" s="1">
        <v>42916</v>
      </c>
      <c r="AH199" s="2">
        <v>132.1721</v>
      </c>
      <c r="AI199" s="1">
        <v>42916</v>
      </c>
      <c r="AJ199" s="2">
        <v>389.17899999999997</v>
      </c>
      <c r="AK199" s="1">
        <v>42551</v>
      </c>
      <c r="AL199" s="2">
        <v>4534.75</v>
      </c>
      <c r="AM199" s="1">
        <v>42551</v>
      </c>
      <c r="AN199" s="2">
        <v>1575.38</v>
      </c>
      <c r="AO199" s="1">
        <v>42551</v>
      </c>
      <c r="AP199" s="2">
        <v>2955.67</v>
      </c>
      <c r="AQ199" s="1">
        <v>42551</v>
      </c>
      <c r="AR199" s="2">
        <v>1630.08</v>
      </c>
      <c r="AS199" s="1">
        <v>42551</v>
      </c>
      <c r="AT199" s="2">
        <v>6966.65</v>
      </c>
      <c r="AU199" s="1">
        <v>42551</v>
      </c>
      <c r="AV199" s="2">
        <v>3638.97</v>
      </c>
      <c r="AW199" s="1">
        <v>44012</v>
      </c>
      <c r="AX199" s="2">
        <v>5350.43</v>
      </c>
      <c r="AY199" s="2">
        <v>43951</v>
      </c>
      <c r="AZ199" s="2">
        <v>124.15</v>
      </c>
      <c r="BC199" s="1">
        <v>42551</v>
      </c>
      <c r="BD199" s="2">
        <v>1.47</v>
      </c>
      <c r="BE199" s="1">
        <v>42551</v>
      </c>
      <c r="BF199" s="2">
        <v>46.84</v>
      </c>
      <c r="BG199" s="1">
        <v>42551</v>
      </c>
      <c r="BH199" s="2">
        <v>120.59</v>
      </c>
      <c r="BI199" s="1">
        <v>42551</v>
      </c>
      <c r="BJ199" s="2">
        <v>128.346</v>
      </c>
      <c r="BK199" s="1">
        <v>42551</v>
      </c>
      <c r="BL199" s="2">
        <v>963.4778</v>
      </c>
      <c r="BM199" s="1">
        <v>44074</v>
      </c>
      <c r="BN199" s="2">
        <v>4251.4970000000003</v>
      </c>
      <c r="BO199" s="1">
        <v>44165</v>
      </c>
      <c r="BP199" s="2">
        <v>445.32</v>
      </c>
    </row>
    <row r="200" spans="1:68" x14ac:dyDescent="0.25">
      <c r="A200" s="1">
        <v>42580</v>
      </c>
      <c r="B200" s="2">
        <v>2821.91</v>
      </c>
      <c r="C200" s="1">
        <v>42580</v>
      </c>
      <c r="D200" s="2">
        <v>244.2491</v>
      </c>
      <c r="E200" s="1">
        <v>42580</v>
      </c>
      <c r="F200" s="2">
        <v>214.61199999999999</v>
      </c>
      <c r="G200" s="1">
        <v>42580</v>
      </c>
      <c r="H200" s="2">
        <v>246.07830000000001</v>
      </c>
      <c r="I200" s="1">
        <v>42613</v>
      </c>
      <c r="J200" s="2">
        <v>150.64410000000001</v>
      </c>
      <c r="K200" s="1">
        <v>42580</v>
      </c>
      <c r="L200" s="2">
        <v>153.43289999999999</v>
      </c>
      <c r="M200" s="1">
        <v>42580</v>
      </c>
      <c r="N200" s="2">
        <v>174.39420000000001</v>
      </c>
      <c r="O200" s="1">
        <v>42613</v>
      </c>
      <c r="P200" s="2">
        <v>132.47200000000001</v>
      </c>
      <c r="Q200" s="1">
        <v>42580</v>
      </c>
      <c r="R200" s="2">
        <v>169.08690000000001</v>
      </c>
      <c r="S200" s="1">
        <v>42580</v>
      </c>
      <c r="T200" s="2">
        <v>511.64240000000001</v>
      </c>
      <c r="U200" s="1">
        <v>42580</v>
      </c>
      <c r="V200" s="2">
        <v>327.30279999999999</v>
      </c>
      <c r="W200" s="1">
        <v>42580</v>
      </c>
      <c r="X200" s="2">
        <v>2065.17</v>
      </c>
      <c r="Y200" s="1">
        <v>42580</v>
      </c>
      <c r="Z200" s="2">
        <v>79.38</v>
      </c>
      <c r="AA200" s="1">
        <v>42947</v>
      </c>
      <c r="AB200" s="2">
        <v>274.32249999999999</v>
      </c>
      <c r="AC200" s="1">
        <v>42580</v>
      </c>
      <c r="AD200" s="2">
        <v>210.16550000000001</v>
      </c>
      <c r="AE200" s="1">
        <v>42947</v>
      </c>
      <c r="AF200" s="2">
        <v>190.851</v>
      </c>
      <c r="AG200" s="1">
        <v>42947</v>
      </c>
      <c r="AH200" s="2">
        <v>141.3982</v>
      </c>
      <c r="AI200" s="1">
        <v>42947</v>
      </c>
      <c r="AJ200" s="2">
        <v>396.18970000000002</v>
      </c>
      <c r="AK200" s="1">
        <v>42580</v>
      </c>
      <c r="AL200" s="2">
        <v>4726.34</v>
      </c>
      <c r="AM200" s="1">
        <v>42580</v>
      </c>
      <c r="AN200" s="2">
        <v>1651.58</v>
      </c>
      <c r="AO200" s="1">
        <v>42580</v>
      </c>
      <c r="AP200" s="2">
        <v>3012.71</v>
      </c>
      <c r="AQ200" s="1">
        <v>42580</v>
      </c>
      <c r="AR200" s="2">
        <v>1675.13</v>
      </c>
      <c r="AS200" s="1">
        <v>42580</v>
      </c>
      <c r="AT200" s="2">
        <v>7227.36</v>
      </c>
      <c r="AU200" s="1">
        <v>42580</v>
      </c>
      <c r="AV200" s="2">
        <v>3810.21</v>
      </c>
      <c r="AW200" s="1">
        <v>44043</v>
      </c>
      <c r="AX200" s="2">
        <v>5543.42</v>
      </c>
      <c r="AY200" s="2">
        <v>43980</v>
      </c>
      <c r="AZ200" s="2">
        <v>133.52000000000001</v>
      </c>
      <c r="BC200" s="1">
        <v>42580</v>
      </c>
      <c r="BD200" s="2">
        <v>1.38</v>
      </c>
      <c r="BE200" s="1">
        <v>42580</v>
      </c>
      <c r="BF200" s="2">
        <v>42.777000000000001</v>
      </c>
      <c r="BG200" s="1">
        <v>42580</v>
      </c>
      <c r="BH200" s="2">
        <v>119.43899999999999</v>
      </c>
      <c r="BI200" s="1">
        <v>42580</v>
      </c>
      <c r="BJ200" s="2">
        <v>115.73399999999999</v>
      </c>
      <c r="BK200" s="1">
        <v>42580</v>
      </c>
      <c r="BL200" s="2">
        <v>968.5643</v>
      </c>
      <c r="BM200" s="1">
        <v>44104</v>
      </c>
      <c r="BN200" s="2">
        <v>4095.0230000000001</v>
      </c>
      <c r="BO200" s="1">
        <v>44196</v>
      </c>
      <c r="BP200" s="2">
        <v>443.81</v>
      </c>
    </row>
    <row r="201" spans="1:68" x14ac:dyDescent="0.25">
      <c r="A201" s="1">
        <v>42613</v>
      </c>
      <c r="B201" s="2">
        <v>2726.1750000000002</v>
      </c>
      <c r="C201" s="1">
        <v>42613</v>
      </c>
      <c r="D201" s="2">
        <v>245.97059999999999</v>
      </c>
      <c r="E201" s="1">
        <v>42613</v>
      </c>
      <c r="F201" s="2">
        <v>214.75800000000001</v>
      </c>
      <c r="G201" s="1">
        <v>42613</v>
      </c>
      <c r="H201" s="2">
        <v>245.26609999999999</v>
      </c>
      <c r="I201" s="1">
        <v>42643</v>
      </c>
      <c r="J201" s="2">
        <v>151.10079999999999</v>
      </c>
      <c r="K201" s="1">
        <v>42613</v>
      </c>
      <c r="L201" s="2">
        <v>153.9676</v>
      </c>
      <c r="M201" s="1">
        <v>42613</v>
      </c>
      <c r="N201" s="2">
        <v>172.7929</v>
      </c>
      <c r="O201" s="1">
        <v>42643</v>
      </c>
      <c r="P201" s="2">
        <v>133.10400000000001</v>
      </c>
      <c r="Q201" s="1">
        <v>42613</v>
      </c>
      <c r="R201" s="2">
        <v>167.96559999999999</v>
      </c>
      <c r="S201" s="1">
        <v>42613</v>
      </c>
      <c r="T201" s="2">
        <v>511.38159999999999</v>
      </c>
      <c r="U201" s="1">
        <v>42613</v>
      </c>
      <c r="V201" s="2">
        <v>333.95839999999998</v>
      </c>
      <c r="W201" s="1">
        <v>42613</v>
      </c>
      <c r="X201" s="2">
        <v>2067.5500000000002</v>
      </c>
      <c r="Y201" s="1">
        <v>42613</v>
      </c>
      <c r="Z201" s="2">
        <v>77.072999999999993</v>
      </c>
      <c r="AA201" s="1">
        <v>42978</v>
      </c>
      <c r="AB201" s="2">
        <v>275.75810000000001</v>
      </c>
      <c r="AC201" s="1">
        <v>42613</v>
      </c>
      <c r="AD201" s="2">
        <v>206.70609999999999</v>
      </c>
      <c r="AE201" s="1">
        <v>42978</v>
      </c>
      <c r="AF201" s="2">
        <v>181.11850000000001</v>
      </c>
      <c r="AG201" s="1">
        <v>42978</v>
      </c>
      <c r="AH201" s="2">
        <v>141.67169999999999</v>
      </c>
      <c r="AI201" s="1">
        <v>42978</v>
      </c>
      <c r="AJ201" s="2">
        <v>411.91759999999999</v>
      </c>
      <c r="AK201" s="1">
        <v>42613</v>
      </c>
      <c r="AL201" s="2">
        <v>4730.2700000000004</v>
      </c>
      <c r="AM201" s="1">
        <v>42613</v>
      </c>
      <c r="AN201" s="2">
        <v>1641.03</v>
      </c>
      <c r="AO201" s="1">
        <v>42613</v>
      </c>
      <c r="AP201" s="2">
        <v>2925.47</v>
      </c>
      <c r="AQ201" s="1">
        <v>42613</v>
      </c>
      <c r="AR201" s="2">
        <v>1629.03</v>
      </c>
      <c r="AS201" s="1">
        <v>42613</v>
      </c>
      <c r="AT201" s="2">
        <v>7294.92</v>
      </c>
      <c r="AU201" s="1">
        <v>42613</v>
      </c>
      <c r="AV201" s="2">
        <v>3781.38</v>
      </c>
      <c r="AW201" s="1">
        <v>44074</v>
      </c>
      <c r="AX201" s="2">
        <v>5681.07</v>
      </c>
      <c r="AY201" s="2">
        <v>44012</v>
      </c>
      <c r="AZ201" s="2">
        <v>136.47999999999999</v>
      </c>
      <c r="BC201" s="1">
        <v>42613</v>
      </c>
      <c r="BD201" s="2">
        <v>1.29</v>
      </c>
      <c r="BE201" s="1">
        <v>42613</v>
      </c>
      <c r="BF201" s="2">
        <v>38.069000000000003</v>
      </c>
      <c r="BG201" s="1">
        <v>42613</v>
      </c>
      <c r="BH201" s="2">
        <v>124.51300000000001</v>
      </c>
      <c r="BI201" s="1">
        <v>42613</v>
      </c>
      <c r="BJ201" s="2">
        <v>103.27200000000001</v>
      </c>
      <c r="BK201" s="1">
        <v>42613</v>
      </c>
      <c r="BL201" s="2">
        <v>960.10339999999997</v>
      </c>
      <c r="BM201" s="1">
        <v>44134</v>
      </c>
      <c r="BN201" s="2">
        <v>3961.5079999999998</v>
      </c>
      <c r="BO201" s="1">
        <v>44225</v>
      </c>
      <c r="BP201" s="2">
        <v>419.04</v>
      </c>
    </row>
    <row r="202" spans="1:68" x14ac:dyDescent="0.25">
      <c r="A202" s="1">
        <v>42643</v>
      </c>
      <c r="B202" s="2">
        <v>2674.8330000000001</v>
      </c>
      <c r="C202" s="1">
        <v>42643</v>
      </c>
      <c r="D202" s="2">
        <v>248.11080000000001</v>
      </c>
      <c r="E202" s="1">
        <v>42643</v>
      </c>
      <c r="F202" s="2">
        <v>219.11500000000001</v>
      </c>
      <c r="G202" s="1">
        <v>42643</v>
      </c>
      <c r="H202" s="2">
        <v>249.07239999999999</v>
      </c>
      <c r="I202" s="1">
        <v>42674</v>
      </c>
      <c r="J202" s="2">
        <v>149.75569999999999</v>
      </c>
      <c r="K202" s="1">
        <v>42643</v>
      </c>
      <c r="L202" s="2">
        <v>154.14019999999999</v>
      </c>
      <c r="M202" s="1">
        <v>42643</v>
      </c>
      <c r="N202" s="2">
        <v>172.68700000000001</v>
      </c>
      <c r="O202" s="1">
        <v>42674</v>
      </c>
      <c r="P202" s="2">
        <v>131.8484</v>
      </c>
      <c r="Q202" s="1">
        <v>42643</v>
      </c>
      <c r="R202" s="2">
        <v>168.76560000000001</v>
      </c>
      <c r="S202" s="1">
        <v>42643</v>
      </c>
      <c r="T202" s="2">
        <v>511.32049999999998</v>
      </c>
      <c r="U202" s="1">
        <v>42643</v>
      </c>
      <c r="V202" s="2">
        <v>334.15390000000002</v>
      </c>
      <c r="W202" s="1">
        <v>42643</v>
      </c>
      <c r="X202" s="2">
        <v>2073.2399999999998</v>
      </c>
      <c r="Y202" s="1">
        <v>42643</v>
      </c>
      <c r="Z202" s="2">
        <v>82.858000000000004</v>
      </c>
      <c r="AA202" s="1">
        <v>43007</v>
      </c>
      <c r="AB202" s="2">
        <v>277.59750000000003</v>
      </c>
      <c r="AC202" s="1">
        <v>42643</v>
      </c>
      <c r="AD202" s="2">
        <v>213.31120000000001</v>
      </c>
      <c r="AE202" s="1">
        <v>43007</v>
      </c>
      <c r="AF202" s="2">
        <v>184.31100000000001</v>
      </c>
      <c r="AG202" s="1">
        <v>43007</v>
      </c>
      <c r="AH202" s="2">
        <v>149.78970000000001</v>
      </c>
      <c r="AI202" s="1">
        <v>43007</v>
      </c>
      <c r="AJ202" s="2">
        <v>398.99950000000001</v>
      </c>
      <c r="AK202" s="1">
        <v>42643</v>
      </c>
      <c r="AL202" s="2">
        <v>4755.3900000000003</v>
      </c>
      <c r="AM202" s="1">
        <v>42643</v>
      </c>
      <c r="AN202" s="2">
        <v>1651.29</v>
      </c>
      <c r="AO202" s="1">
        <v>42643</v>
      </c>
      <c r="AP202" s="2">
        <v>2929.23</v>
      </c>
      <c r="AQ202" s="1">
        <v>42643</v>
      </c>
      <c r="AR202" s="2">
        <v>1640.61</v>
      </c>
      <c r="AS202" s="1">
        <v>42643</v>
      </c>
      <c r="AT202" s="2">
        <v>7314.19</v>
      </c>
      <c r="AU202" s="1">
        <v>42643</v>
      </c>
      <c r="AV202" s="2">
        <v>3811.55</v>
      </c>
      <c r="AW202" s="1">
        <v>44104</v>
      </c>
      <c r="AX202" s="2">
        <v>5612.92</v>
      </c>
      <c r="AY202" s="2">
        <v>44043</v>
      </c>
      <c r="AZ202" s="2">
        <v>139.87</v>
      </c>
      <c r="BC202" s="1">
        <v>42643</v>
      </c>
      <c r="BD202" s="2">
        <v>1.31</v>
      </c>
      <c r="BE202" s="1">
        <v>42643</v>
      </c>
      <c r="BF202" s="2">
        <v>44.53</v>
      </c>
      <c r="BG202" s="1">
        <v>42643</v>
      </c>
      <c r="BH202" s="2">
        <v>131.541</v>
      </c>
      <c r="BI202" s="1">
        <v>42643</v>
      </c>
      <c r="BJ202" s="2">
        <v>116.533</v>
      </c>
      <c r="BK202" s="1">
        <v>42643</v>
      </c>
      <c r="BL202" s="2">
        <v>966.34490000000005</v>
      </c>
      <c r="BM202" s="1">
        <v>44165</v>
      </c>
      <c r="BN202" s="2">
        <v>4392.2240000000002</v>
      </c>
      <c r="BO202" s="1">
        <v>44253</v>
      </c>
      <c r="BP202" s="2">
        <v>451.68</v>
      </c>
    </row>
    <row r="203" spans="1:68" x14ac:dyDescent="0.25">
      <c r="A203" s="1">
        <v>42674</v>
      </c>
      <c r="B203" s="2">
        <v>2571.2660000000001</v>
      </c>
      <c r="C203" s="1">
        <v>42674</v>
      </c>
      <c r="D203" s="2">
        <v>255.18530000000001</v>
      </c>
      <c r="E203" s="1">
        <v>42674</v>
      </c>
      <c r="F203" s="2">
        <v>223.14500000000001</v>
      </c>
      <c r="G203" s="1">
        <v>42674</v>
      </c>
      <c r="H203" s="2">
        <v>249.53809999999999</v>
      </c>
      <c r="I203" s="1">
        <v>42704</v>
      </c>
      <c r="J203" s="2">
        <v>150.41329999999999</v>
      </c>
      <c r="K203" s="1">
        <v>42674</v>
      </c>
      <c r="L203" s="2">
        <v>153.67070000000001</v>
      </c>
      <c r="M203" s="1">
        <v>42674</v>
      </c>
      <c r="N203" s="2">
        <v>168.4144</v>
      </c>
      <c r="O203" s="1">
        <v>42704</v>
      </c>
      <c r="P203" s="2">
        <v>132.947</v>
      </c>
      <c r="Q203" s="1">
        <v>42674</v>
      </c>
      <c r="R203" s="2">
        <v>168.35820000000001</v>
      </c>
      <c r="S203" s="1">
        <v>42674</v>
      </c>
      <c r="T203" s="2">
        <v>506.36270000000002</v>
      </c>
      <c r="U203" s="1">
        <v>42674</v>
      </c>
      <c r="V203" s="2">
        <v>323.16980000000001</v>
      </c>
      <c r="W203" s="1">
        <v>42674</v>
      </c>
      <c r="X203" s="2">
        <v>2067.79</v>
      </c>
      <c r="Y203" s="1">
        <v>42674</v>
      </c>
      <c r="Z203" s="2">
        <v>98.061999999999998</v>
      </c>
      <c r="AA203" s="1">
        <v>43039</v>
      </c>
      <c r="AB203" s="2">
        <v>283.8347</v>
      </c>
      <c r="AC203" s="1">
        <v>42674</v>
      </c>
      <c r="AD203" s="2">
        <v>212.85509999999999</v>
      </c>
      <c r="AE203" s="1">
        <v>43039</v>
      </c>
      <c r="AF203" s="2">
        <v>187.4228</v>
      </c>
      <c r="AG203" s="1">
        <v>43039</v>
      </c>
      <c r="AH203" s="2">
        <v>157</v>
      </c>
      <c r="AI203" s="1">
        <v>43039</v>
      </c>
      <c r="AJ203" s="2">
        <v>395.85140000000001</v>
      </c>
      <c r="AK203" s="1">
        <v>42674</v>
      </c>
      <c r="AL203" s="2">
        <v>4663.3599999999997</v>
      </c>
      <c r="AM203" s="1">
        <v>42674</v>
      </c>
      <c r="AN203" s="2">
        <v>1598.05</v>
      </c>
      <c r="AO203" s="1">
        <v>42674</v>
      </c>
      <c r="AP203" s="2">
        <v>2830.42</v>
      </c>
      <c r="AQ203" s="1">
        <v>42674</v>
      </c>
      <c r="AR203" s="2">
        <v>1591.48</v>
      </c>
      <c r="AS203" s="1">
        <v>42674</v>
      </c>
      <c r="AT203" s="2">
        <v>7257.67</v>
      </c>
      <c r="AU203" s="1">
        <v>42674</v>
      </c>
      <c r="AV203" s="2">
        <v>3693.7</v>
      </c>
      <c r="AW203" s="1">
        <v>44134</v>
      </c>
      <c r="AX203" s="2">
        <v>5493.87</v>
      </c>
      <c r="AY203" s="2">
        <v>44074</v>
      </c>
      <c r="AZ203" s="2">
        <v>145.29</v>
      </c>
      <c r="BC203" s="1">
        <v>42674</v>
      </c>
      <c r="BD203" s="2">
        <v>1.25</v>
      </c>
      <c r="BE203" s="1">
        <v>42674</v>
      </c>
      <c r="BF203" s="2">
        <v>51.716999999999999</v>
      </c>
      <c r="BG203" s="1">
        <v>42674</v>
      </c>
      <c r="BH203" s="2">
        <v>152.11099999999999</v>
      </c>
      <c r="BI203" s="1">
        <v>42674</v>
      </c>
      <c r="BJ203" s="2">
        <v>127.14700000000001</v>
      </c>
      <c r="BK203" s="1">
        <v>42674</v>
      </c>
      <c r="BL203" s="2">
        <v>933.21990000000005</v>
      </c>
      <c r="BM203" s="1">
        <v>44196</v>
      </c>
      <c r="BN203" s="2">
        <v>4605.7700000000004</v>
      </c>
      <c r="BO203" s="1">
        <v>44286</v>
      </c>
      <c r="BP203" s="2">
        <v>487.74</v>
      </c>
    </row>
    <row r="204" spans="1:68" x14ac:dyDescent="0.25">
      <c r="A204" s="1">
        <v>42704</v>
      </c>
      <c r="B204" s="2">
        <v>2539.08</v>
      </c>
      <c r="C204" s="1">
        <v>42704</v>
      </c>
      <c r="D204" s="2">
        <v>255.43379999999999</v>
      </c>
      <c r="E204" s="1">
        <v>42704</v>
      </c>
      <c r="F204" s="2">
        <v>227.51400000000001</v>
      </c>
      <c r="G204" s="1">
        <v>42704</v>
      </c>
      <c r="H204" s="2">
        <v>236.43979999999999</v>
      </c>
      <c r="I204" s="1">
        <v>42734</v>
      </c>
      <c r="J204" s="2">
        <v>150.60059999999999</v>
      </c>
      <c r="K204" s="1">
        <v>42704</v>
      </c>
      <c r="L204" s="2">
        <v>154.298</v>
      </c>
      <c r="M204" s="1">
        <v>42704</v>
      </c>
      <c r="N204" s="2">
        <v>169.29060000000001</v>
      </c>
      <c r="O204" s="1">
        <v>42734</v>
      </c>
      <c r="P204" s="2">
        <v>131.85</v>
      </c>
      <c r="Q204" s="1">
        <v>42704</v>
      </c>
      <c r="R204" s="2">
        <v>168.0659</v>
      </c>
      <c r="S204" s="1">
        <v>42704</v>
      </c>
      <c r="T204" s="2">
        <v>497.99959999999999</v>
      </c>
      <c r="U204" s="1">
        <v>42704</v>
      </c>
      <c r="V204" s="2">
        <v>313.45519999999999</v>
      </c>
      <c r="W204" s="1">
        <v>42704</v>
      </c>
      <c r="X204" s="2">
        <v>2032.37</v>
      </c>
      <c r="Y204" s="1">
        <v>42704</v>
      </c>
      <c r="Z204" s="2">
        <v>126.19499999999999</v>
      </c>
      <c r="AA204" s="1">
        <v>43069</v>
      </c>
      <c r="AB204" s="2">
        <v>283.72320000000002</v>
      </c>
      <c r="AC204" s="1">
        <v>42704</v>
      </c>
      <c r="AD204" s="2">
        <v>215.6635</v>
      </c>
      <c r="AE204" s="1">
        <v>43069</v>
      </c>
      <c r="AF204" s="2">
        <v>187.13810000000001</v>
      </c>
      <c r="AG204" s="1">
        <v>43069</v>
      </c>
      <c r="AH204" s="2">
        <v>161.72710000000001</v>
      </c>
      <c r="AI204" s="1">
        <v>43069</v>
      </c>
      <c r="AJ204" s="2">
        <v>395.50700000000001</v>
      </c>
      <c r="AK204" s="1">
        <v>42704</v>
      </c>
      <c r="AL204" s="2">
        <v>4730.42</v>
      </c>
      <c r="AM204" s="1">
        <v>42704</v>
      </c>
      <c r="AN204" s="2">
        <v>1602.66</v>
      </c>
      <c r="AO204" s="1">
        <v>42704</v>
      </c>
      <c r="AP204" s="2">
        <v>2787.91</v>
      </c>
      <c r="AQ204" s="1">
        <v>42704</v>
      </c>
      <c r="AR204" s="2">
        <v>1598.59</v>
      </c>
      <c r="AS204" s="1">
        <v>42704</v>
      </c>
      <c r="AT204" s="2">
        <v>7458.58</v>
      </c>
      <c r="AU204" s="1">
        <v>42704</v>
      </c>
      <c r="AV204" s="2">
        <v>3696.79</v>
      </c>
      <c r="AW204" s="1">
        <v>44165</v>
      </c>
      <c r="AX204" s="2">
        <v>5943.88</v>
      </c>
      <c r="AY204" s="2">
        <v>44104</v>
      </c>
      <c r="AZ204" s="2">
        <v>138.85</v>
      </c>
      <c r="BC204" s="1">
        <v>42704</v>
      </c>
      <c r="BD204" s="2">
        <v>1.23</v>
      </c>
      <c r="BE204" s="1">
        <v>42704</v>
      </c>
      <c r="BF204" s="2">
        <v>53.725999999999999</v>
      </c>
      <c r="BG204" s="1">
        <v>42704</v>
      </c>
      <c r="BH204" s="2">
        <v>189.87700000000001</v>
      </c>
      <c r="BI204" s="1">
        <v>42704</v>
      </c>
      <c r="BJ204" s="2">
        <v>119.002</v>
      </c>
      <c r="BK204" s="1">
        <v>42704</v>
      </c>
      <c r="BL204" s="2">
        <v>889.92539999999997</v>
      </c>
      <c r="BM204" s="1">
        <v>44225</v>
      </c>
      <c r="BN204" s="2">
        <v>4560.8159999999998</v>
      </c>
      <c r="BO204" s="1">
        <v>44316</v>
      </c>
      <c r="BP204" s="2">
        <v>496.53</v>
      </c>
    </row>
    <row r="205" spans="1:68" x14ac:dyDescent="0.25">
      <c r="A205" s="1">
        <v>42734</v>
      </c>
      <c r="B205" s="2">
        <v>2555.674</v>
      </c>
      <c r="C205" s="1">
        <v>42734</v>
      </c>
      <c r="D205" s="2">
        <v>257.78269999999998</v>
      </c>
      <c r="E205" s="1">
        <v>42734</v>
      </c>
      <c r="F205" s="2">
        <v>222.96600000000001</v>
      </c>
      <c r="G205" s="1">
        <v>42734</v>
      </c>
      <c r="H205" s="2">
        <v>239.17519999999999</v>
      </c>
      <c r="I205" s="1">
        <v>42766</v>
      </c>
      <c r="J205" s="2">
        <v>150.3509</v>
      </c>
      <c r="K205" s="1">
        <v>42734</v>
      </c>
      <c r="L205" s="2">
        <v>156.73009999999999</v>
      </c>
      <c r="M205" s="1">
        <v>42734</v>
      </c>
      <c r="N205" s="2">
        <v>169.2047</v>
      </c>
      <c r="O205" s="1">
        <v>42766</v>
      </c>
      <c r="P205" s="2">
        <v>131.33430000000001</v>
      </c>
      <c r="Q205" s="1">
        <v>42734</v>
      </c>
      <c r="R205" s="2">
        <v>168.55269999999999</v>
      </c>
      <c r="S205" s="1">
        <v>42734</v>
      </c>
      <c r="T205" s="2">
        <v>499.36419999999998</v>
      </c>
      <c r="U205" s="1">
        <v>42734</v>
      </c>
      <c r="V205" s="2">
        <v>316.27109999999999</v>
      </c>
      <c r="W205" s="1">
        <v>42734</v>
      </c>
      <c r="X205" s="2">
        <v>2032.34</v>
      </c>
      <c r="Y205" s="1">
        <v>42734</v>
      </c>
      <c r="Z205" s="2">
        <v>125.023</v>
      </c>
      <c r="AA205" s="1">
        <v>43098</v>
      </c>
      <c r="AB205" s="2">
        <v>291.33150000000001</v>
      </c>
      <c r="AC205" s="1">
        <v>42734</v>
      </c>
      <c r="AD205" s="2">
        <v>219.27959999999999</v>
      </c>
      <c r="AE205" s="1">
        <v>43098</v>
      </c>
      <c r="AF205" s="2">
        <v>183.8974</v>
      </c>
      <c r="AG205" s="1">
        <v>43098</v>
      </c>
      <c r="AH205" s="2">
        <v>170.35769999999999</v>
      </c>
      <c r="AI205" s="1">
        <v>43098</v>
      </c>
      <c r="AJ205" s="2">
        <v>407.19049999999999</v>
      </c>
      <c r="AK205" s="1">
        <v>42734</v>
      </c>
      <c r="AL205" s="2">
        <v>4843.6099999999997</v>
      </c>
      <c r="AM205" s="1">
        <v>42734</v>
      </c>
      <c r="AN205" s="2">
        <v>1631.3</v>
      </c>
      <c r="AO205" s="1">
        <v>42734</v>
      </c>
      <c r="AP205" s="2">
        <v>2849.89</v>
      </c>
      <c r="AQ205" s="1">
        <v>42734</v>
      </c>
      <c r="AR205" s="2">
        <v>1622.7</v>
      </c>
      <c r="AS205" s="1">
        <v>42734</v>
      </c>
      <c r="AT205" s="2">
        <v>7714.58</v>
      </c>
      <c r="AU205" s="1">
        <v>42734</v>
      </c>
      <c r="AV205" s="2">
        <v>3745.26</v>
      </c>
      <c r="AW205" s="1">
        <v>44196</v>
      </c>
      <c r="AX205" s="2">
        <v>6181.9</v>
      </c>
      <c r="AY205" s="2">
        <v>44134</v>
      </c>
      <c r="AZ205" s="2">
        <v>133.29</v>
      </c>
      <c r="BC205" s="1">
        <v>42734</v>
      </c>
      <c r="BD205" s="2">
        <v>1.18</v>
      </c>
      <c r="BE205" s="1">
        <v>42734</v>
      </c>
      <c r="BF205" s="2">
        <v>51.526000000000003</v>
      </c>
      <c r="BG205" s="1">
        <v>42734</v>
      </c>
      <c r="BH205" s="2">
        <v>194.00200000000001</v>
      </c>
      <c r="BI205" s="1">
        <v>42734</v>
      </c>
      <c r="BJ205" s="2">
        <v>113.599</v>
      </c>
      <c r="BK205" s="1">
        <v>42734</v>
      </c>
      <c r="BL205" s="2">
        <v>883.93</v>
      </c>
      <c r="BM205" s="1">
        <v>44253</v>
      </c>
      <c r="BN205" s="2">
        <v>4579.1319999999996</v>
      </c>
      <c r="BO205" s="1">
        <v>44347</v>
      </c>
      <c r="BP205" s="2">
        <v>492.23</v>
      </c>
    </row>
    <row r="206" spans="1:68" x14ac:dyDescent="0.25">
      <c r="A206" s="1">
        <v>42766</v>
      </c>
      <c r="B206" s="2">
        <v>2525.9</v>
      </c>
      <c r="C206" s="1">
        <v>42766</v>
      </c>
      <c r="D206" s="2">
        <v>256.96789999999999</v>
      </c>
      <c r="E206" s="1">
        <v>42766</v>
      </c>
      <c r="F206" s="2">
        <v>225.285</v>
      </c>
      <c r="G206" s="1">
        <v>42766</v>
      </c>
      <c r="H206" s="2">
        <v>241.79769999999999</v>
      </c>
      <c r="I206" s="1">
        <v>42794</v>
      </c>
      <c r="J206" s="2">
        <v>151.03919999999999</v>
      </c>
      <c r="K206" s="1">
        <v>42766</v>
      </c>
      <c r="L206" s="2">
        <v>157.30199999999999</v>
      </c>
      <c r="M206" s="1">
        <v>42766</v>
      </c>
      <c r="N206" s="2">
        <v>169.06290000000001</v>
      </c>
      <c r="O206" s="1">
        <v>42794</v>
      </c>
      <c r="P206" s="2">
        <v>131.15710000000001</v>
      </c>
      <c r="Q206" s="1">
        <v>42766</v>
      </c>
      <c r="R206" s="2">
        <v>167.8947</v>
      </c>
      <c r="S206" s="1">
        <v>42766</v>
      </c>
      <c r="T206" s="2">
        <v>497.5453</v>
      </c>
      <c r="U206" s="1">
        <v>42766</v>
      </c>
      <c r="V206" s="2">
        <v>320.26139999999998</v>
      </c>
      <c r="W206" s="1">
        <v>42766</v>
      </c>
      <c r="X206" s="2">
        <v>2031.65</v>
      </c>
      <c r="Y206" s="1">
        <v>42766</v>
      </c>
      <c r="Z206" s="2">
        <v>124.474</v>
      </c>
      <c r="AA206" s="1">
        <v>43131</v>
      </c>
      <c r="AB206" s="2">
        <v>298.73669999999998</v>
      </c>
      <c r="AC206" s="1">
        <v>42766</v>
      </c>
      <c r="AD206" s="2">
        <v>221.58420000000001</v>
      </c>
      <c r="AE206" s="1">
        <v>43131</v>
      </c>
      <c r="AF206" s="2">
        <v>186.86009999999999</v>
      </c>
      <c r="AG206" s="1">
        <v>43131</v>
      </c>
      <c r="AH206" s="2">
        <v>177.84569999999999</v>
      </c>
      <c r="AI206" s="1">
        <v>43131</v>
      </c>
      <c r="AJ206" s="2">
        <v>415.60750000000002</v>
      </c>
      <c r="AK206" s="1">
        <v>42766</v>
      </c>
      <c r="AL206" s="2">
        <v>4960.51</v>
      </c>
      <c r="AM206" s="1">
        <v>42766</v>
      </c>
      <c r="AN206" s="2">
        <v>1663.81</v>
      </c>
      <c r="AO206" s="1">
        <v>42766</v>
      </c>
      <c r="AP206" s="2">
        <v>2901.66</v>
      </c>
      <c r="AQ206" s="1">
        <v>42766</v>
      </c>
      <c r="AR206" s="2">
        <v>1680.79</v>
      </c>
      <c r="AS206" s="1">
        <v>42766</v>
      </c>
      <c r="AT206" s="2">
        <v>7817.53</v>
      </c>
      <c r="AU206" s="1">
        <v>42766</v>
      </c>
      <c r="AV206" s="2">
        <v>3878.59</v>
      </c>
      <c r="AW206" s="1">
        <v>44225</v>
      </c>
      <c r="AX206" s="2">
        <v>6200.75</v>
      </c>
      <c r="AY206" s="2">
        <v>44165</v>
      </c>
      <c r="AZ206" s="2">
        <v>159.37</v>
      </c>
      <c r="BC206" s="1">
        <v>42766</v>
      </c>
      <c r="BD206" s="2">
        <v>1.1599999999999999</v>
      </c>
      <c r="BE206" s="1">
        <v>42766</v>
      </c>
      <c r="BF206" s="2">
        <v>53.86</v>
      </c>
      <c r="BG206" s="1">
        <v>42766</v>
      </c>
      <c r="BH206" s="2">
        <v>193.536</v>
      </c>
      <c r="BI206" s="1">
        <v>42766</v>
      </c>
      <c r="BJ206" s="2">
        <v>114.59</v>
      </c>
      <c r="BK206" s="1">
        <v>42766</v>
      </c>
      <c r="BL206" s="2">
        <v>892.87350000000004</v>
      </c>
      <c r="BM206" s="1">
        <v>44286</v>
      </c>
      <c r="BN206" s="2">
        <v>4618.28</v>
      </c>
      <c r="BO206" s="1">
        <v>44377</v>
      </c>
      <c r="BP206" s="2">
        <v>509.08</v>
      </c>
    </row>
    <row r="207" spans="1:68" x14ac:dyDescent="0.25">
      <c r="A207" s="1">
        <v>42794</v>
      </c>
      <c r="B207" s="2">
        <v>2597.9569999999999</v>
      </c>
      <c r="C207" s="1">
        <v>42794</v>
      </c>
      <c r="D207" s="2">
        <v>263.34280000000001</v>
      </c>
      <c r="E207" s="1">
        <v>42794</v>
      </c>
      <c r="F207" s="2">
        <v>230.12299999999999</v>
      </c>
      <c r="G207" s="1">
        <v>42794</v>
      </c>
      <c r="H207" s="2">
        <v>246.3176</v>
      </c>
      <c r="I207" s="1">
        <v>42825</v>
      </c>
      <c r="J207" s="2">
        <v>150.85849999999999</v>
      </c>
      <c r="K207" s="1">
        <v>42794</v>
      </c>
      <c r="L207" s="2">
        <v>160.0025</v>
      </c>
      <c r="M207" s="1">
        <v>42794</v>
      </c>
      <c r="N207" s="2">
        <v>168.3287</v>
      </c>
      <c r="O207" s="1">
        <v>42825</v>
      </c>
      <c r="P207" s="2">
        <v>130.21459999999999</v>
      </c>
      <c r="Q207" s="1">
        <v>42794</v>
      </c>
      <c r="R207" s="2">
        <v>169.13140000000001</v>
      </c>
      <c r="S207" s="1">
        <v>42794</v>
      </c>
      <c r="T207" s="2">
        <v>501.80459999999999</v>
      </c>
      <c r="U207" s="1">
        <v>42794</v>
      </c>
      <c r="V207" s="2">
        <v>320.07150000000001</v>
      </c>
      <c r="W207" s="1">
        <v>42794</v>
      </c>
      <c r="X207" s="2">
        <v>2041.37</v>
      </c>
      <c r="Y207" s="1">
        <v>42794</v>
      </c>
      <c r="Z207" s="2">
        <v>112.786</v>
      </c>
      <c r="AA207" s="1">
        <v>43159</v>
      </c>
      <c r="AB207" s="2">
        <v>295.31630000000001</v>
      </c>
      <c r="AC207" s="1">
        <v>42794</v>
      </c>
      <c r="AD207" s="2">
        <v>222.75659999999999</v>
      </c>
      <c r="AE207" s="1">
        <v>43159</v>
      </c>
      <c r="AF207" s="2">
        <v>192.33340000000001</v>
      </c>
      <c r="AG207" s="1">
        <v>43159</v>
      </c>
      <c r="AH207" s="2">
        <v>168.75399999999999</v>
      </c>
      <c r="AI207" s="1">
        <v>43159</v>
      </c>
      <c r="AJ207" s="2">
        <v>405.48680000000002</v>
      </c>
      <c r="AK207" s="1">
        <v>42794</v>
      </c>
      <c r="AL207" s="2">
        <v>5098.13</v>
      </c>
      <c r="AM207" s="1">
        <v>42794</v>
      </c>
      <c r="AN207" s="2">
        <v>1735.02</v>
      </c>
      <c r="AO207" s="1">
        <v>42794</v>
      </c>
      <c r="AP207" s="2">
        <v>2997.1</v>
      </c>
      <c r="AQ207" s="1">
        <v>42794</v>
      </c>
      <c r="AR207" s="2">
        <v>1720.7</v>
      </c>
      <c r="AS207" s="1">
        <v>42794</v>
      </c>
      <c r="AT207" s="2">
        <v>7999.6</v>
      </c>
      <c r="AU207" s="1">
        <v>42794</v>
      </c>
      <c r="AV207" s="2">
        <v>4004.15</v>
      </c>
      <c r="AW207" s="1">
        <v>44253</v>
      </c>
      <c r="AX207" s="2">
        <v>6254.13</v>
      </c>
      <c r="AY207" s="2">
        <v>44196</v>
      </c>
      <c r="AZ207" s="2">
        <v>168.51</v>
      </c>
      <c r="BC207" s="1">
        <v>42794</v>
      </c>
      <c r="BD207" s="2">
        <v>1.1000000000000001</v>
      </c>
      <c r="BE207" s="1">
        <v>42794</v>
      </c>
      <c r="BF207" s="2">
        <v>46.070999999999998</v>
      </c>
      <c r="BG207" s="1">
        <v>42794</v>
      </c>
      <c r="BH207" s="2">
        <v>178.06700000000001</v>
      </c>
      <c r="BI207" s="1">
        <v>42794</v>
      </c>
      <c r="BJ207" s="2">
        <v>106.34</v>
      </c>
      <c r="BK207" s="1">
        <v>42794</v>
      </c>
      <c r="BL207" s="2">
        <v>896.32370000000003</v>
      </c>
      <c r="BM207" s="1">
        <v>44316</v>
      </c>
      <c r="BN207" s="2">
        <v>4909.37</v>
      </c>
      <c r="BO207" s="1">
        <v>44407</v>
      </c>
      <c r="BP207" s="2">
        <v>504.94</v>
      </c>
    </row>
    <row r="208" spans="1:68" x14ac:dyDescent="0.25">
      <c r="A208" s="1">
        <v>42825</v>
      </c>
      <c r="B208" s="2">
        <v>2533.8919999999998</v>
      </c>
      <c r="C208" s="1">
        <v>42825</v>
      </c>
      <c r="D208" s="2">
        <v>262.53269999999998</v>
      </c>
      <c r="E208" s="1">
        <v>42825</v>
      </c>
      <c r="F208" s="2">
        <v>226.422</v>
      </c>
      <c r="G208" s="1">
        <v>42825</v>
      </c>
      <c r="H208" s="2">
        <v>250.55439999999999</v>
      </c>
      <c r="I208" s="1">
        <v>42853</v>
      </c>
      <c r="J208" s="2">
        <v>150.816</v>
      </c>
      <c r="K208" s="1">
        <v>42825</v>
      </c>
      <c r="L208" s="2">
        <v>162.83009999999999</v>
      </c>
      <c r="M208" s="1">
        <v>42825</v>
      </c>
      <c r="N208" s="2">
        <v>166.30109999999999</v>
      </c>
      <c r="O208" s="1">
        <v>42853</v>
      </c>
      <c r="P208" s="2">
        <v>130.34809999999999</v>
      </c>
      <c r="Q208" s="1">
        <v>42825</v>
      </c>
      <c r="R208" s="2">
        <v>168.63740000000001</v>
      </c>
      <c r="S208" s="1">
        <v>42825</v>
      </c>
      <c r="T208" s="2">
        <v>501.57310000000001</v>
      </c>
      <c r="U208" s="1">
        <v>42825</v>
      </c>
      <c r="V208" s="2">
        <v>320.37880000000001</v>
      </c>
      <c r="W208" s="1">
        <v>42825</v>
      </c>
      <c r="X208" s="2">
        <v>2041.95</v>
      </c>
      <c r="Y208" s="1">
        <v>42825</v>
      </c>
      <c r="Z208" s="2">
        <v>112.94499999999999</v>
      </c>
      <c r="AA208" s="1">
        <v>43189</v>
      </c>
      <c r="AB208" s="2">
        <v>294.3329</v>
      </c>
      <c r="AC208" s="1">
        <v>42825</v>
      </c>
      <c r="AD208" s="2">
        <v>217.1474</v>
      </c>
      <c r="AE208" s="1">
        <v>43189</v>
      </c>
      <c r="AF208" s="2">
        <v>186.70189999999999</v>
      </c>
      <c r="AG208" s="1">
        <v>43189</v>
      </c>
      <c r="AH208" s="2">
        <v>178.8792</v>
      </c>
      <c r="AI208" s="1">
        <v>43189</v>
      </c>
      <c r="AJ208" s="2">
        <v>406.29329999999999</v>
      </c>
      <c r="AK208" s="1">
        <v>42825</v>
      </c>
      <c r="AL208" s="2">
        <v>5152.43</v>
      </c>
      <c r="AM208" s="1">
        <v>42825</v>
      </c>
      <c r="AN208" s="2">
        <v>1760.47</v>
      </c>
      <c r="AO208" s="1">
        <v>42825</v>
      </c>
      <c r="AP208" s="2">
        <v>3008.63</v>
      </c>
      <c r="AQ208" s="1">
        <v>42825</v>
      </c>
      <c r="AR208" s="2">
        <v>1757.24</v>
      </c>
      <c r="AS208" s="1">
        <v>42825</v>
      </c>
      <c r="AT208" s="2">
        <v>8041.54</v>
      </c>
      <c r="AU208" s="1">
        <v>42825</v>
      </c>
      <c r="AV208" s="2">
        <v>4069.05</v>
      </c>
      <c r="AW208" s="1">
        <v>44286</v>
      </c>
      <c r="AX208" s="2">
        <v>6255.14</v>
      </c>
      <c r="AY208" s="2">
        <v>44225</v>
      </c>
      <c r="AZ208" s="2">
        <v>166.78</v>
      </c>
      <c r="BC208" s="1">
        <v>42825</v>
      </c>
      <c r="BD208" s="2">
        <v>1.1200000000000001</v>
      </c>
      <c r="BE208" s="1">
        <v>42825</v>
      </c>
      <c r="BF208" s="2">
        <v>46.459000000000003</v>
      </c>
      <c r="BG208" s="1">
        <v>42825</v>
      </c>
      <c r="BH208" s="2">
        <v>163.06899999999999</v>
      </c>
      <c r="BI208" s="1">
        <v>42825</v>
      </c>
      <c r="BJ208" s="2">
        <v>108.66500000000001</v>
      </c>
      <c r="BK208" s="1">
        <v>42825</v>
      </c>
      <c r="BL208" s="2">
        <v>897.65530000000001</v>
      </c>
      <c r="BM208" s="1">
        <v>44347</v>
      </c>
      <c r="BN208" s="2">
        <v>4901.8959999999997</v>
      </c>
      <c r="BO208" s="1">
        <v>44439</v>
      </c>
      <c r="BP208" s="2">
        <v>519.07000000000005</v>
      </c>
    </row>
    <row r="209" spans="1:68" x14ac:dyDescent="0.25">
      <c r="A209" s="1">
        <v>42853</v>
      </c>
      <c r="B209" s="2">
        <v>2507.7829999999999</v>
      </c>
      <c r="C209" s="1">
        <v>42853</v>
      </c>
      <c r="D209" s="2">
        <v>260.3227</v>
      </c>
      <c r="E209" s="1">
        <v>42853</v>
      </c>
      <c r="F209" s="2">
        <v>220.96299999999999</v>
      </c>
      <c r="G209" s="1">
        <v>42853</v>
      </c>
      <c r="H209" s="2">
        <v>252.20240000000001</v>
      </c>
      <c r="I209" s="1">
        <v>42886</v>
      </c>
      <c r="J209" s="2">
        <v>150.8819</v>
      </c>
      <c r="K209" s="1">
        <v>42853</v>
      </c>
      <c r="L209" s="2">
        <v>164.01929999999999</v>
      </c>
      <c r="M209" s="1">
        <v>42853</v>
      </c>
      <c r="N209" s="2">
        <v>164.76400000000001</v>
      </c>
      <c r="O209" s="1">
        <v>42886</v>
      </c>
      <c r="P209" s="2">
        <v>129.8896</v>
      </c>
      <c r="Q209" s="1">
        <v>42853</v>
      </c>
      <c r="R209" s="2">
        <v>168.07509999999999</v>
      </c>
      <c r="S209" s="1">
        <v>42853</v>
      </c>
      <c r="T209" s="2">
        <v>504.97449999999998</v>
      </c>
      <c r="U209" s="1">
        <v>42853</v>
      </c>
      <c r="V209" s="2">
        <v>328.98480000000001</v>
      </c>
      <c r="W209" s="1">
        <v>42853</v>
      </c>
      <c r="X209" s="2">
        <v>2055.27</v>
      </c>
      <c r="Y209" s="1">
        <v>42853</v>
      </c>
      <c r="Z209" s="2">
        <v>101.435</v>
      </c>
      <c r="AA209" s="1">
        <v>43220</v>
      </c>
      <c r="AB209" s="2">
        <v>301.28949999999998</v>
      </c>
      <c r="AC209" s="1">
        <v>42853</v>
      </c>
      <c r="AD209" s="2">
        <v>214.7099</v>
      </c>
      <c r="AE209" s="1">
        <v>43220</v>
      </c>
      <c r="AF209" s="2">
        <v>188.99270000000001</v>
      </c>
      <c r="AG209" s="1">
        <v>43220</v>
      </c>
      <c r="AH209" s="2">
        <v>190.02539999999999</v>
      </c>
      <c r="AI209" s="1">
        <v>43220</v>
      </c>
      <c r="AJ209" s="2">
        <v>405.22219999999999</v>
      </c>
      <c r="AK209" s="1">
        <v>42853</v>
      </c>
      <c r="AL209" s="2">
        <v>5228.7299999999996</v>
      </c>
      <c r="AM209" s="1">
        <v>42853</v>
      </c>
      <c r="AN209" s="2">
        <v>1795.73</v>
      </c>
      <c r="AO209" s="1">
        <v>42853</v>
      </c>
      <c r="AP209" s="2">
        <v>3039.67</v>
      </c>
      <c r="AQ209" s="1">
        <v>42853</v>
      </c>
      <c r="AR209" s="2">
        <v>1790.37</v>
      </c>
      <c r="AS209" s="1">
        <v>42853</v>
      </c>
      <c r="AT209" s="2">
        <v>8086.13</v>
      </c>
      <c r="AU209" s="1">
        <v>42853</v>
      </c>
      <c r="AV209" s="2">
        <v>4167.55</v>
      </c>
      <c r="AW209" s="1">
        <v>44316</v>
      </c>
      <c r="AX209" s="2">
        <v>6528.18</v>
      </c>
      <c r="AY209" s="2">
        <v>44253</v>
      </c>
      <c r="AZ209" s="2">
        <v>177.8</v>
      </c>
      <c r="BC209" s="1">
        <v>42853</v>
      </c>
      <c r="BD209" s="2">
        <v>1.1000000000000001</v>
      </c>
      <c r="BE209" s="1">
        <v>42853</v>
      </c>
      <c r="BF209" s="2">
        <v>46.436999999999998</v>
      </c>
      <c r="BG209" s="1">
        <v>42853</v>
      </c>
      <c r="BH209" s="2">
        <v>148.28299999999999</v>
      </c>
      <c r="BI209" s="1">
        <v>42853</v>
      </c>
      <c r="BJ209" s="2">
        <v>113.411</v>
      </c>
      <c r="BK209" s="1">
        <v>42853</v>
      </c>
      <c r="BL209" s="2">
        <v>909.28989999999999</v>
      </c>
      <c r="BM209" s="1">
        <v>44377</v>
      </c>
      <c r="BN209" s="2">
        <v>5116.6180000000004</v>
      </c>
      <c r="BO209" s="1">
        <v>44469</v>
      </c>
      <c r="BP209" s="2">
        <v>502.76</v>
      </c>
    </row>
    <row r="210" spans="1:68" x14ac:dyDescent="0.25">
      <c r="A210" s="1">
        <v>42886</v>
      </c>
      <c r="B210" s="2">
        <v>2499.8310000000001</v>
      </c>
      <c r="C210" s="1">
        <v>42886</v>
      </c>
      <c r="D210" s="2">
        <v>256.10950000000003</v>
      </c>
      <c r="E210" s="1">
        <v>42886</v>
      </c>
      <c r="F210" s="2">
        <v>217.90299999999999</v>
      </c>
      <c r="G210" s="1">
        <v>42886</v>
      </c>
      <c r="H210" s="2">
        <v>256.98160000000001</v>
      </c>
      <c r="I210" s="1">
        <v>42916</v>
      </c>
      <c r="J210" s="2">
        <v>150.03649999999999</v>
      </c>
      <c r="K210" s="1">
        <v>42886</v>
      </c>
      <c r="L210" s="2">
        <v>165.45660000000001</v>
      </c>
      <c r="M210" s="1">
        <v>42886</v>
      </c>
      <c r="N210" s="2">
        <v>163.99260000000001</v>
      </c>
      <c r="O210" s="1">
        <v>42916</v>
      </c>
      <c r="P210" s="2">
        <v>128.83439999999999</v>
      </c>
      <c r="Q210" s="1">
        <v>42886</v>
      </c>
      <c r="R210" s="2">
        <v>168.4033</v>
      </c>
      <c r="S210" s="1">
        <v>42886</v>
      </c>
      <c r="T210" s="2">
        <v>507.92189999999999</v>
      </c>
      <c r="U210" s="1">
        <v>42886</v>
      </c>
      <c r="V210" s="2">
        <v>329.74740000000003</v>
      </c>
      <c r="W210" s="1">
        <v>42886</v>
      </c>
      <c r="X210" s="2">
        <v>2068.0300000000002</v>
      </c>
      <c r="Y210" s="1">
        <v>42886</v>
      </c>
      <c r="Z210" s="2">
        <v>91.700999999999993</v>
      </c>
      <c r="AA210" s="1">
        <v>43251</v>
      </c>
      <c r="AB210" s="2">
        <v>305.99079999999998</v>
      </c>
      <c r="AC210" s="1">
        <v>42886</v>
      </c>
      <c r="AD210" s="2">
        <v>211.27590000000001</v>
      </c>
      <c r="AE210" s="1">
        <v>43251</v>
      </c>
      <c r="AF210" s="2">
        <v>191.5444</v>
      </c>
      <c r="AG210" s="1">
        <v>43251</v>
      </c>
      <c r="AH210" s="2">
        <v>195.89230000000001</v>
      </c>
      <c r="AI210" s="1">
        <v>43251</v>
      </c>
      <c r="AJ210" s="2">
        <v>401.07920000000001</v>
      </c>
      <c r="AK210" s="1">
        <v>42886</v>
      </c>
      <c r="AL210" s="2">
        <v>5339.34</v>
      </c>
      <c r="AM210" s="1">
        <v>42886</v>
      </c>
      <c r="AN210" s="2">
        <v>1854.55</v>
      </c>
      <c r="AO210" s="1">
        <v>42886</v>
      </c>
      <c r="AP210" s="2">
        <v>3128.29</v>
      </c>
      <c r="AQ210" s="1">
        <v>42886</v>
      </c>
      <c r="AR210" s="2">
        <v>1865.98</v>
      </c>
      <c r="AS210" s="1">
        <v>42886</v>
      </c>
      <c r="AT210" s="2">
        <v>8157.25</v>
      </c>
      <c r="AU210" s="1">
        <v>42886</v>
      </c>
      <c r="AV210" s="2">
        <v>4306.95</v>
      </c>
      <c r="AW210" s="1">
        <v>44347</v>
      </c>
      <c r="AX210" s="2">
        <v>6655.96</v>
      </c>
      <c r="AY210" s="2">
        <v>44286</v>
      </c>
      <c r="AZ210" s="2">
        <v>185.33</v>
      </c>
      <c r="BC210" s="1">
        <v>42886</v>
      </c>
      <c r="BD210" s="2">
        <v>1.07</v>
      </c>
      <c r="BE210" s="1">
        <v>42886</v>
      </c>
      <c r="BF210" s="2">
        <v>45.125</v>
      </c>
      <c r="BG210" s="1">
        <v>42886</v>
      </c>
      <c r="BH210" s="2">
        <v>122.708</v>
      </c>
      <c r="BI210" s="1">
        <v>42886</v>
      </c>
      <c r="BJ210" s="2">
        <v>110.934</v>
      </c>
      <c r="BK210" s="1">
        <v>42886</v>
      </c>
      <c r="BL210" s="2">
        <v>924.86220000000003</v>
      </c>
      <c r="BM210" s="1">
        <v>44407</v>
      </c>
      <c r="BN210" s="2">
        <v>5160.4520000000002</v>
      </c>
      <c r="BO210" s="1">
        <v>44498</v>
      </c>
      <c r="BP210" s="2">
        <v>541.9</v>
      </c>
    </row>
    <row r="211" spans="1:68" x14ac:dyDescent="0.25">
      <c r="A211" s="1">
        <v>42916</v>
      </c>
      <c r="B211" s="2">
        <v>2407.3310000000001</v>
      </c>
      <c r="C211" s="1">
        <v>42916</v>
      </c>
      <c r="D211" s="2">
        <v>256.83569999999997</v>
      </c>
      <c r="E211" s="1">
        <v>42916</v>
      </c>
      <c r="F211" s="2">
        <v>219.02199999999999</v>
      </c>
      <c r="G211" s="1">
        <v>42916</v>
      </c>
      <c r="H211" s="2">
        <v>259.37916000000001</v>
      </c>
      <c r="I211" s="1">
        <v>42947</v>
      </c>
      <c r="J211" s="2">
        <v>150.31039999999999</v>
      </c>
      <c r="K211" s="1">
        <v>42916</v>
      </c>
      <c r="L211" s="2">
        <v>164.24</v>
      </c>
      <c r="M211" s="1">
        <v>42916</v>
      </c>
      <c r="N211" s="2">
        <v>162.8648</v>
      </c>
      <c r="O211" s="1">
        <v>42947</v>
      </c>
      <c r="P211" s="2">
        <v>127.6632</v>
      </c>
      <c r="Q211" s="1">
        <v>42916</v>
      </c>
      <c r="R211" s="2">
        <v>168.428</v>
      </c>
      <c r="S211" s="1">
        <v>42916</v>
      </c>
      <c r="T211" s="2">
        <v>506.50029999999998</v>
      </c>
      <c r="U211" s="1">
        <v>42916</v>
      </c>
      <c r="V211" s="2">
        <v>326.89510000000001</v>
      </c>
      <c r="W211" s="1">
        <v>42916</v>
      </c>
      <c r="X211" s="2">
        <v>2059.7199999999998</v>
      </c>
      <c r="Y211" s="1">
        <v>42916</v>
      </c>
      <c r="Z211" s="2">
        <v>91.802000000000007</v>
      </c>
      <c r="AA211" s="1">
        <v>43280</v>
      </c>
      <c r="AB211" s="2">
        <v>294.97969999999998</v>
      </c>
      <c r="AC211" s="1">
        <v>42916</v>
      </c>
      <c r="AD211" s="2">
        <v>211.08250000000001</v>
      </c>
      <c r="AE211" s="1">
        <v>43280</v>
      </c>
      <c r="AF211" s="2">
        <v>176.3989</v>
      </c>
      <c r="AG211" s="1">
        <v>43280</v>
      </c>
      <c r="AH211" s="2">
        <v>201.04769999999999</v>
      </c>
      <c r="AI211" s="1">
        <v>43280</v>
      </c>
      <c r="AJ211" s="2">
        <v>387.64249999999998</v>
      </c>
      <c r="AK211" s="1">
        <v>42916</v>
      </c>
      <c r="AL211" s="2">
        <v>5359.88</v>
      </c>
      <c r="AM211" s="1">
        <v>42916</v>
      </c>
      <c r="AN211" s="2">
        <v>1834.37</v>
      </c>
      <c r="AO211" s="1">
        <v>42916</v>
      </c>
      <c r="AP211" s="2">
        <v>3109.8</v>
      </c>
      <c r="AQ211" s="1">
        <v>42916</v>
      </c>
      <c r="AR211" s="2">
        <v>1870.43</v>
      </c>
      <c r="AS211" s="1">
        <v>42916</v>
      </c>
      <c r="AT211" s="2">
        <v>8267.98</v>
      </c>
      <c r="AU211" s="1">
        <v>42916</v>
      </c>
      <c r="AV211" s="2">
        <v>4282.96</v>
      </c>
      <c r="AW211" s="1">
        <v>44377</v>
      </c>
      <c r="AX211" s="2">
        <v>6752.25</v>
      </c>
      <c r="AY211" s="2">
        <v>44316</v>
      </c>
      <c r="AZ211" s="2">
        <v>203.04</v>
      </c>
      <c r="BC211" s="1">
        <v>42916</v>
      </c>
      <c r="BD211" s="2">
        <v>1.03</v>
      </c>
      <c r="BE211" s="1">
        <v>42916</v>
      </c>
      <c r="BF211" s="2">
        <v>41.366</v>
      </c>
      <c r="BG211" s="1">
        <v>42916</v>
      </c>
      <c r="BH211" s="2">
        <v>128.733</v>
      </c>
      <c r="BI211" s="1">
        <v>42916</v>
      </c>
      <c r="BJ211" s="2">
        <v>94.472999999999999</v>
      </c>
      <c r="BK211" s="1">
        <v>42916</v>
      </c>
      <c r="BL211" s="2">
        <v>923.59580000000005</v>
      </c>
      <c r="BM211" s="1">
        <v>44439</v>
      </c>
      <c r="BN211" s="2">
        <v>5244.5609999999997</v>
      </c>
      <c r="BO211" s="1">
        <v>44530</v>
      </c>
      <c r="BP211" s="2">
        <v>526.54</v>
      </c>
    </row>
    <row r="212" spans="1:68" x14ac:dyDescent="0.25">
      <c r="A212" s="1">
        <v>42947</v>
      </c>
      <c r="B212" s="2">
        <v>2438.1060000000002</v>
      </c>
      <c r="C212" s="1">
        <v>42947</v>
      </c>
      <c r="D212" s="2">
        <v>256.59629999999999</v>
      </c>
      <c r="E212" s="1">
        <v>42947</v>
      </c>
      <c r="F212" s="2">
        <v>218.851</v>
      </c>
      <c r="G212" s="1">
        <v>42947</v>
      </c>
      <c r="H212" s="2">
        <v>264.97422</v>
      </c>
      <c r="I212" s="1">
        <v>42978</v>
      </c>
      <c r="J212" s="2">
        <v>150.58340000000001</v>
      </c>
      <c r="K212" s="1">
        <v>42947</v>
      </c>
      <c r="L212" s="2">
        <v>165.84710000000001</v>
      </c>
      <c r="M212" s="1">
        <v>42947</v>
      </c>
      <c r="N212" s="2">
        <v>162.1181</v>
      </c>
      <c r="O212" s="1">
        <v>42978</v>
      </c>
      <c r="P212" s="2">
        <v>128.3135</v>
      </c>
      <c r="Q212" s="1">
        <v>42947</v>
      </c>
      <c r="R212" s="2">
        <v>170.76140000000001</v>
      </c>
      <c r="S212" s="1">
        <v>42947</v>
      </c>
      <c r="T212" s="2">
        <v>508.16539999999998</v>
      </c>
      <c r="U212" s="1">
        <v>42947</v>
      </c>
      <c r="V212" s="2">
        <v>331.00080000000003</v>
      </c>
      <c r="W212" s="1">
        <v>42947</v>
      </c>
      <c r="X212" s="2">
        <v>2069.0300000000002</v>
      </c>
      <c r="Y212" s="1">
        <v>42947</v>
      </c>
      <c r="Z212" s="2">
        <v>93.91</v>
      </c>
      <c r="AA212" s="1">
        <v>43312</v>
      </c>
      <c r="AB212" s="2">
        <v>289.92790000000002</v>
      </c>
      <c r="AC212" s="1">
        <v>42947</v>
      </c>
      <c r="AD212" s="2">
        <v>216.0686</v>
      </c>
      <c r="AE212" s="1">
        <v>43312</v>
      </c>
      <c r="AF212" s="2">
        <v>179.93180000000001</v>
      </c>
      <c r="AG212" s="1">
        <v>43312</v>
      </c>
      <c r="AH212" s="2">
        <v>193.66480000000001</v>
      </c>
      <c r="AI212" s="1">
        <v>43312</v>
      </c>
      <c r="AJ212" s="2">
        <v>377.13630000000001</v>
      </c>
      <c r="AK212" s="1">
        <v>42947</v>
      </c>
      <c r="AL212" s="2">
        <v>5488.16</v>
      </c>
      <c r="AM212" s="1">
        <v>42947</v>
      </c>
      <c r="AN212" s="2">
        <v>1861.93</v>
      </c>
      <c r="AO212" s="1">
        <v>42947</v>
      </c>
      <c r="AP212" s="2">
        <v>3169.04</v>
      </c>
      <c r="AQ212" s="1">
        <v>42947</v>
      </c>
      <c r="AR212" s="2">
        <v>1928.29</v>
      </c>
      <c r="AS212" s="1">
        <v>42947</v>
      </c>
      <c r="AT212" s="2">
        <v>8454.34</v>
      </c>
      <c r="AU212" s="1">
        <v>42947</v>
      </c>
      <c r="AV212" s="2">
        <v>4391.4799999999996</v>
      </c>
      <c r="AW212" s="1">
        <v>44407</v>
      </c>
      <c r="AX212" s="2">
        <v>6934.99</v>
      </c>
      <c r="AY212" s="2">
        <v>44347</v>
      </c>
      <c r="AZ212" s="2">
        <v>208.36</v>
      </c>
      <c r="BC212" s="1">
        <v>42947</v>
      </c>
      <c r="BD212" s="2">
        <v>0.98</v>
      </c>
      <c r="BE212" s="1">
        <v>42947</v>
      </c>
      <c r="BF212" s="2">
        <v>45.536000000000001</v>
      </c>
      <c r="BG212" s="1">
        <v>42947</v>
      </c>
      <c r="BH212" s="2">
        <v>121.675</v>
      </c>
      <c r="BI212" s="1">
        <v>42947</v>
      </c>
      <c r="BJ212" s="2">
        <v>106.10899999999999</v>
      </c>
      <c r="BK212" s="1">
        <v>42947</v>
      </c>
      <c r="BL212" s="2">
        <v>940.73050000000001</v>
      </c>
      <c r="BM212" s="1">
        <v>44469</v>
      </c>
      <c r="BN212" s="2">
        <v>5086.4759999999997</v>
      </c>
      <c r="BO212" s="1">
        <v>44561</v>
      </c>
      <c r="BP212" s="2">
        <v>561.45000000000005</v>
      </c>
    </row>
    <row r="213" spans="1:68" x14ac:dyDescent="0.25">
      <c r="A213" s="1">
        <v>42978</v>
      </c>
      <c r="B213" s="2">
        <v>2501.607</v>
      </c>
      <c r="C213" s="1">
        <v>42978</v>
      </c>
      <c r="D213" s="2">
        <v>256.5419</v>
      </c>
      <c r="E213" s="1">
        <v>42978</v>
      </c>
      <c r="F213" s="2">
        <v>213.667</v>
      </c>
      <c r="G213" s="1">
        <v>42978</v>
      </c>
      <c r="H213" s="2">
        <v>267.60610000000003</v>
      </c>
      <c r="I213" s="1">
        <v>43007</v>
      </c>
      <c r="J213" s="2">
        <v>149.84690000000001</v>
      </c>
      <c r="K213" s="1">
        <v>42978</v>
      </c>
      <c r="L213" s="2">
        <v>165.9417</v>
      </c>
      <c r="M213" s="1">
        <v>42978</v>
      </c>
      <c r="N213" s="2">
        <v>161.94239999999999</v>
      </c>
      <c r="O213" s="1">
        <v>43007</v>
      </c>
      <c r="P213" s="2">
        <v>127.37430000000001</v>
      </c>
      <c r="Q213" s="1">
        <v>42978</v>
      </c>
      <c r="R213" s="2">
        <v>170.81829999999999</v>
      </c>
      <c r="S213" s="1">
        <v>42978</v>
      </c>
      <c r="T213" s="2">
        <v>512.79639999999995</v>
      </c>
      <c r="U213" s="1">
        <v>42978</v>
      </c>
      <c r="V213" s="2">
        <v>336.35399999999998</v>
      </c>
      <c r="W213" s="1">
        <v>42978</v>
      </c>
      <c r="X213" s="2">
        <v>2084.15</v>
      </c>
      <c r="Y213" s="1">
        <v>42978</v>
      </c>
      <c r="Z213" s="2">
        <v>78.747</v>
      </c>
      <c r="AA213" s="1">
        <v>43343</v>
      </c>
      <c r="AB213" s="2">
        <v>284.63150000000002</v>
      </c>
      <c r="AC213" s="1">
        <v>42978</v>
      </c>
      <c r="AD213" s="2">
        <v>216.90039999999999</v>
      </c>
      <c r="AE213" s="1">
        <v>43343</v>
      </c>
      <c r="AF213" s="2">
        <v>172.40989999999999</v>
      </c>
      <c r="AG213" s="1">
        <v>43343</v>
      </c>
      <c r="AH213" s="2">
        <v>200.69820000000001</v>
      </c>
      <c r="AI213" s="1">
        <v>43343</v>
      </c>
      <c r="AJ213" s="2">
        <v>365.81610000000001</v>
      </c>
      <c r="AK213" s="1">
        <v>42978</v>
      </c>
      <c r="AL213" s="2">
        <v>5495.88</v>
      </c>
      <c r="AM213" s="1">
        <v>42978</v>
      </c>
      <c r="AN213" s="2">
        <v>1883.48</v>
      </c>
      <c r="AO213" s="1">
        <v>42978</v>
      </c>
      <c r="AP213" s="2">
        <v>3195.34</v>
      </c>
      <c r="AQ213" s="1">
        <v>42978</v>
      </c>
      <c r="AR213" s="2">
        <v>1956.26</v>
      </c>
      <c r="AS213" s="1">
        <v>42978</v>
      </c>
      <c r="AT213" s="2">
        <v>8385.09</v>
      </c>
      <c r="AU213" s="1">
        <v>42978</v>
      </c>
      <c r="AV213" s="2">
        <v>4438.99</v>
      </c>
      <c r="AW213" s="1">
        <v>44439</v>
      </c>
      <c r="AX213" s="2">
        <v>6966.37</v>
      </c>
      <c r="AY213" s="2">
        <v>44377</v>
      </c>
      <c r="AZ213" s="2">
        <v>207.64</v>
      </c>
      <c r="BC213" s="1">
        <v>42978</v>
      </c>
      <c r="BD213" s="2">
        <v>1.04</v>
      </c>
      <c r="BE213" s="1">
        <v>42978</v>
      </c>
      <c r="BF213" s="2">
        <v>41.341000000000001</v>
      </c>
      <c r="BG213" s="1">
        <v>42978</v>
      </c>
      <c r="BH213" s="2">
        <v>111.968</v>
      </c>
      <c r="BI213" s="1">
        <v>42978</v>
      </c>
      <c r="BJ213" s="2">
        <v>102.26</v>
      </c>
      <c r="BK213" s="1">
        <v>42978</v>
      </c>
      <c r="BL213" s="2">
        <v>951.79309999999998</v>
      </c>
      <c r="BM213" s="1">
        <v>44498</v>
      </c>
      <c r="BN213" s="2">
        <v>5317.3289999999997</v>
      </c>
      <c r="BO213" s="1">
        <v>44592</v>
      </c>
      <c r="BP213" s="2">
        <v>532.47</v>
      </c>
    </row>
    <row r="214" spans="1:68" x14ac:dyDescent="0.25">
      <c r="A214" s="1">
        <v>43007</v>
      </c>
      <c r="B214" s="2">
        <v>2425.277</v>
      </c>
      <c r="C214" s="1">
        <v>43007</v>
      </c>
      <c r="D214" s="2">
        <v>257.4117</v>
      </c>
      <c r="E214" s="1">
        <v>43007</v>
      </c>
      <c r="F214" s="2">
        <v>214.86600000000001</v>
      </c>
      <c r="G214" s="1">
        <v>43007</v>
      </c>
      <c r="H214" s="2">
        <v>262.88699000000003</v>
      </c>
      <c r="I214" s="1">
        <v>43039</v>
      </c>
      <c r="J214" s="2">
        <v>150.86490000000001</v>
      </c>
      <c r="K214" s="1">
        <v>43007</v>
      </c>
      <c r="L214" s="2">
        <v>167.15450000000001</v>
      </c>
      <c r="M214" s="1">
        <v>43007</v>
      </c>
      <c r="N214" s="2">
        <v>160.5908</v>
      </c>
      <c r="O214" s="1">
        <v>43039</v>
      </c>
      <c r="P214" s="2">
        <v>128.88910000000001</v>
      </c>
      <c r="Q214" s="1">
        <v>43007</v>
      </c>
      <c r="R214" s="2">
        <v>169.2329</v>
      </c>
      <c r="S214" s="1">
        <v>43007</v>
      </c>
      <c r="T214" s="2">
        <v>510.42919999999998</v>
      </c>
      <c r="U214" s="1">
        <v>43007</v>
      </c>
      <c r="V214" s="2">
        <v>334.14519999999999</v>
      </c>
      <c r="W214" s="1">
        <v>43007</v>
      </c>
      <c r="X214" s="2">
        <v>2079.48</v>
      </c>
      <c r="Y214" s="1">
        <v>43007</v>
      </c>
      <c r="Z214" s="2">
        <v>84.489000000000004</v>
      </c>
      <c r="AA214" s="1">
        <v>43371</v>
      </c>
      <c r="AB214" s="2">
        <v>289.39080000000001</v>
      </c>
      <c r="AC214" s="1">
        <v>43007</v>
      </c>
      <c r="AD214" s="2">
        <v>216.28149999999999</v>
      </c>
      <c r="AE214" s="1">
        <v>43371</v>
      </c>
      <c r="AF214" s="2">
        <v>172.29599999999999</v>
      </c>
      <c r="AG214" s="1">
        <v>43371</v>
      </c>
      <c r="AH214" s="2">
        <v>211.83189999999999</v>
      </c>
      <c r="AI214" s="1">
        <v>43371</v>
      </c>
      <c r="AJ214" s="2">
        <v>364.66070000000002</v>
      </c>
      <c r="AK214" s="1">
        <v>43007</v>
      </c>
      <c r="AL214" s="2">
        <v>5619.23</v>
      </c>
      <c r="AM214" s="1">
        <v>43007</v>
      </c>
      <c r="AN214" s="2">
        <v>1918.94</v>
      </c>
      <c r="AO214" s="1">
        <v>43007</v>
      </c>
      <c r="AP214" s="2">
        <v>3201.37</v>
      </c>
      <c r="AQ214" s="1">
        <v>43007</v>
      </c>
      <c r="AR214" s="2">
        <v>2006.28</v>
      </c>
      <c r="AS214" s="1">
        <v>43007</v>
      </c>
      <c r="AT214" s="2">
        <v>8638.69</v>
      </c>
      <c r="AU214" s="1">
        <v>43007</v>
      </c>
      <c r="AV214" s="2">
        <v>4505.25</v>
      </c>
      <c r="AW214" s="1">
        <v>44469</v>
      </c>
      <c r="AX214" s="2">
        <v>6872.99</v>
      </c>
      <c r="AY214" s="2">
        <v>44407</v>
      </c>
      <c r="AZ214" s="2">
        <v>219.77</v>
      </c>
      <c r="BC214" s="1">
        <v>43007</v>
      </c>
      <c r="BD214" s="2">
        <v>0.96</v>
      </c>
      <c r="BE214" s="1">
        <v>43007</v>
      </c>
      <c r="BF214" s="2">
        <v>39.594999999999999</v>
      </c>
      <c r="BG214" s="1">
        <v>43007</v>
      </c>
      <c r="BH214" s="2">
        <v>127.52200000000001</v>
      </c>
      <c r="BI214" s="1">
        <v>43007</v>
      </c>
      <c r="BJ214" s="2">
        <v>92.245999999999995</v>
      </c>
      <c r="BK214" s="1">
        <v>43007</v>
      </c>
      <c r="BL214" s="2">
        <v>940.35500000000002</v>
      </c>
      <c r="BM214" s="1">
        <v>44530</v>
      </c>
      <c r="BN214" s="2">
        <v>5115.8370000000004</v>
      </c>
      <c r="BO214" s="1">
        <v>44620</v>
      </c>
      <c r="BP214" s="2">
        <v>506.38</v>
      </c>
    </row>
    <row r="215" spans="1:68" x14ac:dyDescent="0.25">
      <c r="A215" s="1">
        <v>43039</v>
      </c>
      <c r="B215" s="2">
        <v>2559.87</v>
      </c>
      <c r="C215" s="1">
        <v>43039</v>
      </c>
      <c r="D215" s="2">
        <v>253.79589999999999</v>
      </c>
      <c r="E215" s="1">
        <v>43039</v>
      </c>
      <c r="F215" s="2">
        <v>212.17099999999999</v>
      </c>
      <c r="G215" s="1">
        <v>43039</v>
      </c>
      <c r="H215" s="2">
        <v>257.35336999999998</v>
      </c>
      <c r="I215" s="1">
        <v>43069</v>
      </c>
      <c r="J215" s="2">
        <v>150.73840000000001</v>
      </c>
      <c r="K215" s="1">
        <v>43039</v>
      </c>
      <c r="L215" s="2">
        <v>170.3278</v>
      </c>
      <c r="M215" s="1">
        <v>43039</v>
      </c>
      <c r="N215" s="2">
        <v>161.13210000000001</v>
      </c>
      <c r="O215" s="1">
        <v>43069</v>
      </c>
      <c r="P215" s="2">
        <v>128.06819999999999</v>
      </c>
      <c r="Q215" s="1">
        <v>43039</v>
      </c>
      <c r="R215" s="2">
        <v>167.99369999999999</v>
      </c>
      <c r="S215" s="1">
        <v>43039</v>
      </c>
      <c r="T215" s="2">
        <v>512.58199999999999</v>
      </c>
      <c r="U215" s="1">
        <v>43039</v>
      </c>
      <c r="V215" s="2">
        <v>334.12180000000001</v>
      </c>
      <c r="W215" s="1">
        <v>43039</v>
      </c>
      <c r="X215" s="2">
        <v>2078.83</v>
      </c>
      <c r="Y215" s="1">
        <v>43039</v>
      </c>
      <c r="Z215" s="2">
        <v>77.558999999999997</v>
      </c>
      <c r="AA215" s="1">
        <v>43404</v>
      </c>
      <c r="AB215" s="2">
        <v>282.41199999999998</v>
      </c>
      <c r="AC215" s="1">
        <v>43039</v>
      </c>
      <c r="AD215" s="2">
        <v>220.18860000000001</v>
      </c>
      <c r="AE215" s="1">
        <v>43404</v>
      </c>
      <c r="AF215" s="2">
        <v>173.94749999999999</v>
      </c>
      <c r="AG215" s="1">
        <v>43404</v>
      </c>
      <c r="AH215" s="2">
        <v>196.82560000000001</v>
      </c>
      <c r="AI215" s="1">
        <v>43404</v>
      </c>
      <c r="AJ215" s="2">
        <v>367.95389999999998</v>
      </c>
      <c r="AK215" s="1">
        <v>43039</v>
      </c>
      <c r="AL215" s="2">
        <v>5725.43</v>
      </c>
      <c r="AM215" s="1">
        <v>43039</v>
      </c>
      <c r="AN215" s="2">
        <v>1977.83</v>
      </c>
      <c r="AO215" s="1">
        <v>43039</v>
      </c>
      <c r="AP215" s="2">
        <v>3246.82</v>
      </c>
      <c r="AQ215" s="1">
        <v>43039</v>
      </c>
      <c r="AR215" s="2">
        <v>2097.79</v>
      </c>
      <c r="AS215" s="1">
        <v>43039</v>
      </c>
      <c r="AT215" s="2">
        <v>8725.66</v>
      </c>
      <c r="AU215" s="1">
        <v>43039</v>
      </c>
      <c r="AV215" s="2">
        <v>4629.28</v>
      </c>
      <c r="AW215" s="1">
        <v>44498</v>
      </c>
      <c r="AX215" s="2">
        <v>7014.3</v>
      </c>
      <c r="AY215" s="2">
        <v>44439</v>
      </c>
      <c r="AZ215" s="2">
        <v>223.57</v>
      </c>
      <c r="BC215" s="1">
        <v>43039</v>
      </c>
      <c r="BD215" s="2">
        <v>0.91</v>
      </c>
      <c r="BE215" s="1">
        <v>43039</v>
      </c>
      <c r="BF215" s="2">
        <v>36.116999999999997</v>
      </c>
      <c r="BG215" s="1">
        <v>43039</v>
      </c>
      <c r="BH215" s="2">
        <v>124.562</v>
      </c>
      <c r="BI215" s="1">
        <v>43039</v>
      </c>
      <c r="BJ215" s="2">
        <v>86.120999999999995</v>
      </c>
      <c r="BK215" s="1">
        <v>43039</v>
      </c>
      <c r="BL215" s="2">
        <v>935.32060000000001</v>
      </c>
      <c r="BM215" s="1">
        <v>44561</v>
      </c>
      <c r="BN215" s="2">
        <v>5451.1220000000003</v>
      </c>
      <c r="BO215" s="1">
        <v>44651</v>
      </c>
      <c r="BP215" s="2">
        <v>516.36</v>
      </c>
    </row>
    <row r="216" spans="1:68" x14ac:dyDescent="0.25">
      <c r="A216" s="1">
        <v>43069</v>
      </c>
      <c r="B216" s="2">
        <v>2574.94</v>
      </c>
      <c r="C216" s="1">
        <v>43069</v>
      </c>
      <c r="D216" s="2">
        <v>251.834</v>
      </c>
      <c r="E216" s="1">
        <v>43069</v>
      </c>
      <c r="F216" s="2">
        <v>210.494</v>
      </c>
      <c r="G216" s="1">
        <v>43069</v>
      </c>
      <c r="H216" s="2">
        <v>260.73896000000002</v>
      </c>
      <c r="I216" s="1">
        <v>43098</v>
      </c>
      <c r="J216" s="2">
        <v>150.91919999999999</v>
      </c>
      <c r="K216" s="1">
        <v>43069</v>
      </c>
      <c r="L216" s="2">
        <v>170.0763</v>
      </c>
      <c r="M216" s="1">
        <v>43069</v>
      </c>
      <c r="N216" s="2">
        <v>161.68379999999999</v>
      </c>
      <c r="O216" s="1">
        <v>43098</v>
      </c>
      <c r="P216" s="2">
        <v>128.67320000000001</v>
      </c>
      <c r="Q216" s="1">
        <v>43069</v>
      </c>
      <c r="R216" s="2">
        <v>168.6345</v>
      </c>
      <c r="S216" s="1">
        <v>43069</v>
      </c>
      <c r="T216" s="2">
        <v>513.37609999999995</v>
      </c>
      <c r="U216" s="1">
        <v>43069</v>
      </c>
      <c r="V216" s="2">
        <v>339.64409999999998</v>
      </c>
      <c r="W216" s="1">
        <v>43069</v>
      </c>
      <c r="X216" s="2">
        <v>2075.83</v>
      </c>
      <c r="Y216" s="1">
        <v>43069</v>
      </c>
      <c r="Z216" s="2">
        <v>62.366999999999997</v>
      </c>
      <c r="AA216" s="1">
        <v>43434</v>
      </c>
      <c r="AB216" s="2">
        <v>270.0684</v>
      </c>
      <c r="AC216" s="1">
        <v>43069</v>
      </c>
      <c r="AD216" s="2">
        <v>219.26300000000001</v>
      </c>
      <c r="AE216" s="1">
        <v>43434</v>
      </c>
      <c r="AF216" s="2">
        <v>174.22300000000001</v>
      </c>
      <c r="AG216" s="1">
        <v>43434</v>
      </c>
      <c r="AH216" s="2">
        <v>165.14240000000001</v>
      </c>
      <c r="AI216" s="1">
        <v>43434</v>
      </c>
      <c r="AJ216" s="2">
        <v>368.97480000000002</v>
      </c>
      <c r="AK216" s="1">
        <v>43069</v>
      </c>
      <c r="AL216" s="2">
        <v>5849.49</v>
      </c>
      <c r="AM216" s="1">
        <v>43069</v>
      </c>
      <c r="AN216" s="2">
        <v>2030.22</v>
      </c>
      <c r="AO216" s="1">
        <v>43069</v>
      </c>
      <c r="AP216" s="2">
        <v>3338.01</v>
      </c>
      <c r="AQ216" s="1">
        <v>43069</v>
      </c>
      <c r="AR216" s="2">
        <v>2136.89</v>
      </c>
      <c r="AS216" s="1">
        <v>43069</v>
      </c>
      <c r="AT216" s="2">
        <v>8907.6200000000008</v>
      </c>
      <c r="AU216" s="1">
        <v>43069</v>
      </c>
      <c r="AV216" s="2">
        <v>4733.22</v>
      </c>
      <c r="AW216" s="1">
        <v>44530</v>
      </c>
      <c r="AX216" s="2">
        <v>6940.58</v>
      </c>
      <c r="AY216" s="2">
        <v>44469</v>
      </c>
      <c r="AZ216" s="2">
        <v>214.84</v>
      </c>
      <c r="BC216" s="1">
        <v>43069</v>
      </c>
      <c r="BD216" s="2">
        <v>0.92</v>
      </c>
      <c r="BE216" s="1">
        <v>43069</v>
      </c>
      <c r="BF216" s="2">
        <v>27.048999999999999</v>
      </c>
      <c r="BG216" s="1">
        <v>43069</v>
      </c>
      <c r="BH216" s="2">
        <v>114.59699999999999</v>
      </c>
      <c r="BI216" s="1">
        <v>43069</v>
      </c>
      <c r="BJ216" s="2">
        <v>68.77</v>
      </c>
      <c r="BK216" s="1">
        <v>43069</v>
      </c>
      <c r="BL216" s="2">
        <v>948.5992</v>
      </c>
      <c r="BM216" s="1">
        <v>44592</v>
      </c>
      <c r="BN216" s="2">
        <v>5382.3490000000002</v>
      </c>
      <c r="BO216" s="1">
        <v>44680</v>
      </c>
      <c r="BP216" s="2">
        <v>488.17</v>
      </c>
    </row>
    <row r="217" spans="1:68" x14ac:dyDescent="0.25">
      <c r="A217" s="1">
        <v>43098</v>
      </c>
      <c r="B217" s="2">
        <v>2611.982</v>
      </c>
      <c r="C217" s="1">
        <v>43098</v>
      </c>
      <c r="D217" s="2">
        <v>255.38929999999999</v>
      </c>
      <c r="E217" s="1">
        <v>43098</v>
      </c>
      <c r="F217" s="2">
        <v>212.095</v>
      </c>
      <c r="G217" s="1">
        <v>43098</v>
      </c>
      <c r="H217" s="2">
        <v>265.51524000000001</v>
      </c>
      <c r="I217" s="1">
        <v>43131</v>
      </c>
      <c r="J217" s="2">
        <v>152.7825</v>
      </c>
      <c r="K217" s="1">
        <v>43098</v>
      </c>
      <c r="L217" s="2">
        <v>169.79230000000001</v>
      </c>
      <c r="M217" s="1">
        <v>43098</v>
      </c>
      <c r="N217" s="2">
        <v>160.5575</v>
      </c>
      <c r="O217" s="1">
        <v>43131</v>
      </c>
      <c r="P217" s="2">
        <v>128.48089999999999</v>
      </c>
      <c r="Q217" s="1">
        <v>43098</v>
      </c>
      <c r="R217" s="2">
        <v>169.3734</v>
      </c>
      <c r="S217" s="1">
        <v>43098</v>
      </c>
      <c r="T217" s="2">
        <v>514.52369999999996</v>
      </c>
      <c r="U217" s="1">
        <v>43098</v>
      </c>
      <c r="V217" s="2">
        <v>343.68450000000001</v>
      </c>
      <c r="W217" s="1">
        <v>43098</v>
      </c>
      <c r="X217" s="2">
        <v>2082.61</v>
      </c>
      <c r="Y217" s="1">
        <v>43098</v>
      </c>
      <c r="Z217" s="2">
        <v>51.843000000000004</v>
      </c>
      <c r="AA217" s="1">
        <v>43465</v>
      </c>
      <c r="AB217" s="2">
        <v>264.4907</v>
      </c>
      <c r="AC217" s="1">
        <v>43098</v>
      </c>
      <c r="AD217" s="2">
        <v>225.12950000000001</v>
      </c>
      <c r="AE217" s="1">
        <v>43465</v>
      </c>
      <c r="AF217" s="2">
        <v>171.8339</v>
      </c>
      <c r="AG217" s="1">
        <v>43465</v>
      </c>
      <c r="AH217" s="2">
        <v>150.0583</v>
      </c>
      <c r="AI217" s="1">
        <v>43465</v>
      </c>
      <c r="AJ217" s="2">
        <v>389.80020000000002</v>
      </c>
      <c r="AK217" s="1">
        <v>43098</v>
      </c>
      <c r="AL217" s="2">
        <v>5928.59</v>
      </c>
      <c r="AM217" s="1">
        <v>43098</v>
      </c>
      <c r="AN217" s="2">
        <v>2054.83</v>
      </c>
      <c r="AO217" s="1">
        <v>43098</v>
      </c>
      <c r="AP217" s="2">
        <v>3343.53</v>
      </c>
      <c r="AQ217" s="1">
        <v>43098</v>
      </c>
      <c r="AR217" s="2">
        <v>2143.37</v>
      </c>
      <c r="AS217" s="1">
        <v>43098</v>
      </c>
      <c r="AT217" s="2">
        <v>9033.67</v>
      </c>
      <c r="AU217" s="1">
        <v>43098</v>
      </c>
      <c r="AV217" s="2">
        <v>4794.3100000000004</v>
      </c>
      <c r="AW217" s="1">
        <v>44561</v>
      </c>
      <c r="AX217" s="2">
        <v>7111.6</v>
      </c>
      <c r="AY217" s="2">
        <v>44498</v>
      </c>
      <c r="AZ217" s="2">
        <v>236.13</v>
      </c>
      <c r="BC217" s="1">
        <v>43098</v>
      </c>
      <c r="BD217" s="2">
        <v>0.89</v>
      </c>
      <c r="BE217" s="1">
        <v>43098</v>
      </c>
      <c r="BF217" s="2">
        <v>19.741</v>
      </c>
      <c r="BG217" s="1">
        <v>43098</v>
      </c>
      <c r="BH217" s="2">
        <v>101.69499999999999</v>
      </c>
      <c r="BI217" s="1">
        <v>43098</v>
      </c>
      <c r="BJ217" s="2">
        <v>53.189</v>
      </c>
      <c r="BK217" s="1">
        <v>43098</v>
      </c>
      <c r="BL217" s="2">
        <v>950.12869999999998</v>
      </c>
      <c r="BM217" s="1">
        <v>44620</v>
      </c>
      <c r="BN217" s="2">
        <v>5294.4520000000002</v>
      </c>
      <c r="BO217" s="1">
        <v>44712</v>
      </c>
      <c r="BP217" s="2">
        <v>510.65</v>
      </c>
    </row>
    <row r="218" spans="1:68" x14ac:dyDescent="0.25">
      <c r="A218" s="1">
        <v>43131</v>
      </c>
      <c r="B218" s="2">
        <v>2764.7809999999999</v>
      </c>
      <c r="C218" s="1">
        <v>43131</v>
      </c>
      <c r="D218" s="2">
        <v>255.19919999999999</v>
      </c>
      <c r="E218" s="1">
        <v>43131</v>
      </c>
      <c r="F218" s="2">
        <v>209.17400000000001</v>
      </c>
      <c r="G218" s="1">
        <v>43131</v>
      </c>
      <c r="H218" s="2">
        <v>274.50225</v>
      </c>
      <c r="I218" s="1">
        <v>43159</v>
      </c>
      <c r="J218" s="2">
        <v>150.09020000000001</v>
      </c>
      <c r="K218" s="1">
        <v>43131</v>
      </c>
      <c r="L218" s="2">
        <v>173.91399999999999</v>
      </c>
      <c r="M218" s="1">
        <v>43131</v>
      </c>
      <c r="N218" s="2">
        <v>162.4246</v>
      </c>
      <c r="O218" s="1">
        <v>43159</v>
      </c>
      <c r="P218" s="2">
        <v>127.46339999999999</v>
      </c>
      <c r="Q218" s="1">
        <v>43131</v>
      </c>
      <c r="R218" s="2">
        <v>172.87610000000001</v>
      </c>
      <c r="S218" s="1">
        <v>43131</v>
      </c>
      <c r="T218" s="2">
        <v>510.85059999999999</v>
      </c>
      <c r="U218" s="1">
        <v>43131</v>
      </c>
      <c r="V218" s="2">
        <v>347.75189999999998</v>
      </c>
      <c r="W218" s="1">
        <v>43131</v>
      </c>
      <c r="X218" s="2">
        <v>2058.1999999999998</v>
      </c>
      <c r="Y218" s="1">
        <v>43131</v>
      </c>
      <c r="Z218" s="2">
        <v>56.042999999999999</v>
      </c>
      <c r="AA218" s="1">
        <v>43496</v>
      </c>
      <c r="AB218" s="2">
        <v>279.62970000000001</v>
      </c>
      <c r="AC218" s="1">
        <v>43131</v>
      </c>
      <c r="AD218" s="2">
        <v>229.39930000000001</v>
      </c>
      <c r="AE218" s="1">
        <v>43496</v>
      </c>
      <c r="AF218" s="2">
        <v>174.72460000000001</v>
      </c>
      <c r="AG218" s="1">
        <v>43496</v>
      </c>
      <c r="AH218" s="2">
        <v>167.82849999999999</v>
      </c>
      <c r="AI218" s="1">
        <v>43496</v>
      </c>
      <c r="AJ218" s="2">
        <v>402.34980000000002</v>
      </c>
      <c r="AK218" s="1">
        <v>43131</v>
      </c>
      <c r="AL218" s="2">
        <v>6241.62</v>
      </c>
      <c r="AM218" s="1">
        <v>43131</v>
      </c>
      <c r="AN218" s="2">
        <v>2160.7600000000002</v>
      </c>
      <c r="AO218" s="1">
        <v>43131</v>
      </c>
      <c r="AP218" s="2">
        <v>3444.22</v>
      </c>
      <c r="AQ218" s="1">
        <v>43131</v>
      </c>
      <c r="AR218" s="2">
        <v>2316.15</v>
      </c>
      <c r="AS218" s="1">
        <v>43131</v>
      </c>
      <c r="AT218" s="2">
        <v>9419.07</v>
      </c>
      <c r="AU218" s="1">
        <v>43131</v>
      </c>
      <c r="AV218" s="2">
        <v>5095.29</v>
      </c>
      <c r="AW218" s="1">
        <v>44592</v>
      </c>
      <c r="AX218" s="2">
        <v>7021.22</v>
      </c>
      <c r="AY218" s="2">
        <v>44530</v>
      </c>
      <c r="AZ218" s="2">
        <v>226.67</v>
      </c>
      <c r="BC218" s="1">
        <v>43131</v>
      </c>
      <c r="BD218" s="2">
        <v>0.82</v>
      </c>
      <c r="BE218" s="1">
        <v>43131</v>
      </c>
      <c r="BF218" s="2">
        <v>18.946000000000002</v>
      </c>
      <c r="BG218" s="1">
        <v>43131</v>
      </c>
      <c r="BH218" s="2">
        <v>124.224</v>
      </c>
      <c r="BI218" s="1">
        <v>43131</v>
      </c>
      <c r="BJ218" s="2">
        <v>41.927999999999997</v>
      </c>
      <c r="BK218" s="1">
        <v>43131</v>
      </c>
      <c r="BL218" s="2">
        <v>965.71680000000003</v>
      </c>
      <c r="BM218" s="1">
        <v>44651</v>
      </c>
      <c r="BN218" s="2">
        <v>5415.59</v>
      </c>
      <c r="BO218" s="1">
        <v>44742</v>
      </c>
      <c r="BP218" s="2">
        <v>496.47</v>
      </c>
    </row>
    <row r="219" spans="1:68" x14ac:dyDescent="0.25">
      <c r="A219" s="1">
        <v>43159</v>
      </c>
      <c r="B219" s="2">
        <v>2517.15</v>
      </c>
      <c r="C219" s="1">
        <v>43159</v>
      </c>
      <c r="D219" s="2">
        <v>257.84730000000002</v>
      </c>
      <c r="E219" s="1">
        <v>43159</v>
      </c>
      <c r="F219" s="2">
        <v>211.22</v>
      </c>
      <c r="G219" s="1">
        <v>43159</v>
      </c>
      <c r="H219" s="2">
        <v>270.84732000000002</v>
      </c>
      <c r="I219" s="1">
        <v>43189</v>
      </c>
      <c r="J219" s="2">
        <v>149.85470000000001</v>
      </c>
      <c r="K219" s="1">
        <v>43159</v>
      </c>
      <c r="L219" s="2">
        <v>166.78039999999999</v>
      </c>
      <c r="M219" s="1">
        <v>43159</v>
      </c>
      <c r="N219" s="2">
        <v>162.42939999999999</v>
      </c>
      <c r="O219" s="1">
        <v>43189</v>
      </c>
      <c r="P219" s="2">
        <v>127.4156</v>
      </c>
      <c r="Q219" s="1">
        <v>43159</v>
      </c>
      <c r="R219" s="2">
        <v>168.9889</v>
      </c>
      <c r="S219" s="1">
        <v>43159</v>
      </c>
      <c r="T219" s="2">
        <v>509.69880000000001</v>
      </c>
      <c r="U219" s="1">
        <v>43159</v>
      </c>
      <c r="V219" s="2">
        <v>341.6062</v>
      </c>
      <c r="W219" s="1">
        <v>43159</v>
      </c>
      <c r="X219" s="2">
        <v>2044.7</v>
      </c>
      <c r="Y219" s="1">
        <v>43159</v>
      </c>
      <c r="Z219" s="2">
        <v>60.655000000000001</v>
      </c>
      <c r="AA219" s="1">
        <v>43524</v>
      </c>
      <c r="AB219" s="2">
        <v>284.72430000000003</v>
      </c>
      <c r="AC219" s="1">
        <v>43159</v>
      </c>
      <c r="AD219" s="2">
        <v>225.42750000000001</v>
      </c>
      <c r="AE219" s="1">
        <v>43524</v>
      </c>
      <c r="AF219" s="2">
        <v>170.68430000000001</v>
      </c>
      <c r="AG219" s="1">
        <v>43524</v>
      </c>
      <c r="AH219" s="2">
        <v>179.98660000000001</v>
      </c>
      <c r="AI219" s="1">
        <v>43524</v>
      </c>
      <c r="AJ219" s="2">
        <v>398.09379999999999</v>
      </c>
      <c r="AK219" s="1">
        <v>43159</v>
      </c>
      <c r="AL219" s="2">
        <v>5983.05</v>
      </c>
      <c r="AM219" s="1">
        <v>43159</v>
      </c>
      <c r="AN219" s="2">
        <v>2090.73</v>
      </c>
      <c r="AO219" s="1">
        <v>43159</v>
      </c>
      <c r="AP219" s="2">
        <v>3305.55</v>
      </c>
      <c r="AQ219" s="1">
        <v>43159</v>
      </c>
      <c r="AR219" s="2">
        <v>2278.63</v>
      </c>
      <c r="AS219" s="1">
        <v>43159</v>
      </c>
      <c r="AT219" s="2">
        <v>8940.4500000000007</v>
      </c>
      <c r="AU219" s="1">
        <v>43159</v>
      </c>
      <c r="AV219" s="2">
        <v>4930.3599999999997</v>
      </c>
      <c r="AW219" s="1">
        <v>44620</v>
      </c>
      <c r="AX219" s="2">
        <v>7046.22</v>
      </c>
      <c r="AY219" s="2">
        <v>44561</v>
      </c>
      <c r="AZ219" s="2">
        <v>232.17</v>
      </c>
      <c r="BC219" s="1">
        <v>43159</v>
      </c>
      <c r="BD219" s="2">
        <v>0.91</v>
      </c>
      <c r="BE219" s="1">
        <v>43159</v>
      </c>
      <c r="BF219" s="2">
        <v>21.71</v>
      </c>
      <c r="BG219" s="1">
        <v>43159</v>
      </c>
      <c r="BH219" s="2">
        <v>120.108</v>
      </c>
      <c r="BI219" s="1">
        <v>43159</v>
      </c>
      <c r="BJ219" s="2">
        <v>48.076000000000001</v>
      </c>
      <c r="BK219" s="1">
        <v>43159</v>
      </c>
      <c r="BL219" s="2">
        <v>959.10619999999994</v>
      </c>
      <c r="BM219" s="1">
        <v>44680</v>
      </c>
      <c r="BN219" s="2">
        <v>5145.9840000000004</v>
      </c>
      <c r="BO219" s="1">
        <v>44771</v>
      </c>
      <c r="BP219" s="2">
        <v>532.69000000000005</v>
      </c>
    </row>
    <row r="220" spans="1:68" x14ac:dyDescent="0.25">
      <c r="A220" s="1">
        <v>43189</v>
      </c>
      <c r="B220" s="2">
        <v>2510.7190000000001</v>
      </c>
      <c r="C220" s="1">
        <v>43189</v>
      </c>
      <c r="D220" s="2">
        <v>257.74770000000001</v>
      </c>
      <c r="E220" s="1">
        <v>43189</v>
      </c>
      <c r="F220" s="2">
        <v>211.554</v>
      </c>
      <c r="G220" s="1">
        <v>43189</v>
      </c>
      <c r="H220" s="2">
        <v>271.15742</v>
      </c>
      <c r="I220" s="1">
        <v>43220</v>
      </c>
      <c r="J220" s="2">
        <v>149.46459999999999</v>
      </c>
      <c r="K220" s="1">
        <v>43189</v>
      </c>
      <c r="L220" s="2">
        <v>166.35120000000001</v>
      </c>
      <c r="M220" s="1">
        <v>43189</v>
      </c>
      <c r="N220" s="2">
        <v>161.3954</v>
      </c>
      <c r="O220" s="1">
        <v>43220</v>
      </c>
      <c r="P220" s="2">
        <v>127.5776</v>
      </c>
      <c r="Q220" s="1">
        <v>43189</v>
      </c>
      <c r="R220" s="2">
        <v>169.1559</v>
      </c>
      <c r="S220" s="1">
        <v>43189</v>
      </c>
      <c r="T220" s="2">
        <v>513.92470000000003</v>
      </c>
      <c r="U220" s="1">
        <v>43189</v>
      </c>
      <c r="V220" s="2">
        <v>349.17809999999997</v>
      </c>
      <c r="W220" s="1">
        <v>43189</v>
      </c>
      <c r="X220" s="2">
        <v>2057.7600000000002</v>
      </c>
      <c r="Y220" s="1">
        <v>43189</v>
      </c>
      <c r="Z220" s="2">
        <v>46.878999999999998</v>
      </c>
      <c r="AA220" s="1">
        <v>43553</v>
      </c>
      <c r="AB220" s="2">
        <v>284.80790000000002</v>
      </c>
      <c r="AC220" s="1">
        <v>43189</v>
      </c>
      <c r="AD220" s="2">
        <v>224.01070000000001</v>
      </c>
      <c r="AE220" s="1">
        <v>43553</v>
      </c>
      <c r="AF220" s="2">
        <v>170.61150000000001</v>
      </c>
      <c r="AG220" s="1">
        <v>43553</v>
      </c>
      <c r="AH220" s="2">
        <v>182.28030000000001</v>
      </c>
      <c r="AI220" s="1">
        <v>43553</v>
      </c>
      <c r="AJ220" s="2">
        <v>390.26170000000002</v>
      </c>
      <c r="AK220" s="1">
        <v>43189</v>
      </c>
      <c r="AL220" s="2">
        <v>5852.64</v>
      </c>
      <c r="AM220" s="1">
        <v>43189</v>
      </c>
      <c r="AN220" s="2">
        <v>2056.1</v>
      </c>
      <c r="AO220" s="1">
        <v>43189</v>
      </c>
      <c r="AP220" s="2">
        <v>3301.89</v>
      </c>
      <c r="AQ220" s="1">
        <v>43189</v>
      </c>
      <c r="AR220" s="2">
        <v>2204.2600000000002</v>
      </c>
      <c r="AS220" s="1">
        <v>43189</v>
      </c>
      <c r="AT220" s="2">
        <v>8745.32</v>
      </c>
      <c r="AU220" s="1">
        <v>43189</v>
      </c>
      <c r="AV220" s="2">
        <v>4823.03</v>
      </c>
      <c r="AW220" s="1">
        <v>44651</v>
      </c>
      <c r="AX220" s="2">
        <v>7064.31</v>
      </c>
      <c r="AY220" s="2">
        <v>44592</v>
      </c>
      <c r="AZ220" s="2">
        <v>218.26</v>
      </c>
      <c r="BC220" s="1">
        <v>43189</v>
      </c>
      <c r="BD220" s="2">
        <v>1.03</v>
      </c>
      <c r="BE220" s="1">
        <v>43189</v>
      </c>
      <c r="BF220" s="2">
        <v>17.52</v>
      </c>
      <c r="BG220" s="1">
        <v>43189</v>
      </c>
      <c r="BH220" s="2">
        <v>102.60599999999999</v>
      </c>
      <c r="BI220" s="1">
        <v>43189</v>
      </c>
      <c r="BJ220" s="2">
        <v>41.003999999999998</v>
      </c>
      <c r="BK220" s="1">
        <v>43189</v>
      </c>
      <c r="BL220" s="2">
        <v>973.84209999999996</v>
      </c>
      <c r="BM220" s="1">
        <v>44712</v>
      </c>
      <c r="BN220" s="2">
        <v>5252.5910000000003</v>
      </c>
      <c r="BO220" s="1">
        <v>44804</v>
      </c>
      <c r="BP220" s="2">
        <v>537.6</v>
      </c>
    </row>
    <row r="221" spans="1:68" x14ac:dyDescent="0.25">
      <c r="A221" s="1">
        <v>43220</v>
      </c>
      <c r="B221" s="2">
        <v>2520.962</v>
      </c>
      <c r="C221" s="1">
        <v>43220</v>
      </c>
      <c r="D221" s="2">
        <v>257.11219999999997</v>
      </c>
      <c r="E221" s="1">
        <v>43220</v>
      </c>
      <c r="F221" s="2">
        <v>216.24600000000001</v>
      </c>
      <c r="G221" s="1">
        <v>43220</v>
      </c>
      <c r="H221" s="2">
        <v>263.84030000000001</v>
      </c>
      <c r="I221" s="1">
        <v>43251</v>
      </c>
      <c r="J221" s="2">
        <v>148.9092</v>
      </c>
      <c r="K221" s="1">
        <v>43220</v>
      </c>
      <c r="L221" s="2">
        <v>166.17599999999999</v>
      </c>
      <c r="M221" s="1">
        <v>43220</v>
      </c>
      <c r="N221" s="2">
        <v>161.87190000000001</v>
      </c>
      <c r="O221" s="1">
        <v>43251</v>
      </c>
      <c r="P221" s="2">
        <v>127.17</v>
      </c>
      <c r="Q221" s="1">
        <v>43220</v>
      </c>
      <c r="R221" s="2">
        <v>166.9941</v>
      </c>
      <c r="S221" s="1">
        <v>43220</v>
      </c>
      <c r="T221" s="2">
        <v>512.01250000000005</v>
      </c>
      <c r="U221" s="1">
        <v>43220</v>
      </c>
      <c r="V221" s="2">
        <v>342.43560000000002</v>
      </c>
      <c r="W221" s="1">
        <v>43220</v>
      </c>
      <c r="X221" s="2">
        <v>2047.42</v>
      </c>
      <c r="Y221" s="1">
        <v>43220</v>
      </c>
      <c r="Z221" s="2">
        <v>46.113999999999997</v>
      </c>
      <c r="AA221" s="1">
        <v>43585</v>
      </c>
      <c r="AB221" s="2">
        <v>284.27089999999998</v>
      </c>
      <c r="AC221" s="1">
        <v>43220</v>
      </c>
      <c r="AD221" s="2">
        <v>229.2124</v>
      </c>
      <c r="AE221" s="1">
        <v>43585</v>
      </c>
      <c r="AF221" s="2">
        <v>165.55179999999999</v>
      </c>
      <c r="AG221" s="1">
        <v>43585</v>
      </c>
      <c r="AH221" s="2">
        <v>192.11410000000001</v>
      </c>
      <c r="AI221" s="1">
        <v>43585</v>
      </c>
      <c r="AJ221" s="2">
        <v>386.84089999999998</v>
      </c>
      <c r="AK221" s="1">
        <v>43220</v>
      </c>
      <c r="AL221" s="2">
        <v>5919.89</v>
      </c>
      <c r="AM221" s="1">
        <v>43220</v>
      </c>
      <c r="AN221" s="2">
        <v>2046.8</v>
      </c>
      <c r="AO221" s="1">
        <v>43220</v>
      </c>
      <c r="AP221" s="2">
        <v>3304.58</v>
      </c>
      <c r="AQ221" s="1">
        <v>43220</v>
      </c>
      <c r="AR221" s="2">
        <v>2226.89</v>
      </c>
      <c r="AS221" s="1">
        <v>43220</v>
      </c>
      <c r="AT221" s="2">
        <v>8862.23</v>
      </c>
      <c r="AU221" s="1">
        <v>43220</v>
      </c>
      <c r="AV221" s="2">
        <v>4869.91</v>
      </c>
      <c r="AW221" s="1">
        <v>44680</v>
      </c>
      <c r="AX221" s="2">
        <v>6813.21</v>
      </c>
      <c r="AY221" s="2">
        <v>44620</v>
      </c>
      <c r="AZ221" s="2">
        <v>208.96</v>
      </c>
      <c r="BC221" s="1">
        <v>43220</v>
      </c>
      <c r="BD221" s="2">
        <v>1.02</v>
      </c>
      <c r="BE221" s="1">
        <v>43220</v>
      </c>
      <c r="BF221" s="2">
        <v>15.422000000000001</v>
      </c>
      <c r="BG221" s="1">
        <v>43220</v>
      </c>
      <c r="BH221" s="2">
        <v>114.83499999999999</v>
      </c>
      <c r="BI221" s="1">
        <v>43220</v>
      </c>
      <c r="BJ221" s="2">
        <v>32.484000000000002</v>
      </c>
      <c r="BK221" s="1">
        <v>43220</v>
      </c>
      <c r="BL221" s="2">
        <v>955.47190000000001</v>
      </c>
      <c r="BM221" s="1">
        <v>44742</v>
      </c>
      <c r="BN221" s="2">
        <v>4789.7479999999996</v>
      </c>
      <c r="BO221" s="1">
        <v>44834</v>
      </c>
      <c r="BP221" s="2">
        <v>509.6</v>
      </c>
    </row>
    <row r="222" spans="1:68" x14ac:dyDescent="0.25">
      <c r="A222" s="1">
        <v>43251</v>
      </c>
      <c r="B222" s="2">
        <v>2451.1</v>
      </c>
      <c r="C222" s="1">
        <v>43251</v>
      </c>
      <c r="D222" s="2">
        <v>258.30860000000001</v>
      </c>
      <c r="E222" s="1">
        <v>43251</v>
      </c>
      <c r="F222" s="2">
        <v>219.16900000000001</v>
      </c>
      <c r="G222" s="1">
        <v>43251</v>
      </c>
      <c r="H222" s="2">
        <v>252.61426</v>
      </c>
      <c r="I222" s="1">
        <v>43280</v>
      </c>
      <c r="J222" s="2">
        <v>148.87219999999999</v>
      </c>
      <c r="K222" s="1">
        <v>43251</v>
      </c>
      <c r="L222" s="2">
        <v>165.42920000000001</v>
      </c>
      <c r="M222" s="1">
        <v>43251</v>
      </c>
      <c r="N222" s="2">
        <v>159.18719999999999</v>
      </c>
      <c r="O222" s="1">
        <v>43280</v>
      </c>
      <c r="P222" s="2">
        <v>127.038</v>
      </c>
      <c r="Q222" s="1">
        <v>43251</v>
      </c>
      <c r="R222" s="2">
        <v>167.9006</v>
      </c>
      <c r="S222" s="1">
        <v>43251</v>
      </c>
      <c r="T222" s="2">
        <v>513.92539999999997</v>
      </c>
      <c r="U222" s="1">
        <v>43251</v>
      </c>
      <c r="V222" s="2">
        <v>338.10019999999997</v>
      </c>
      <c r="W222" s="1">
        <v>43251</v>
      </c>
      <c r="X222" s="2">
        <v>2061.73</v>
      </c>
      <c r="Y222" s="1">
        <v>43251</v>
      </c>
      <c r="Z222" s="2">
        <v>42.712000000000003</v>
      </c>
      <c r="AA222" s="1">
        <v>43616</v>
      </c>
      <c r="AB222" s="2">
        <v>271.2919</v>
      </c>
      <c r="AC222" s="1">
        <v>43251</v>
      </c>
      <c r="AD222" s="2">
        <v>232.93350000000001</v>
      </c>
      <c r="AE222" s="1">
        <v>43616</v>
      </c>
      <c r="AF222" s="2">
        <v>169.13470000000001</v>
      </c>
      <c r="AG222" s="1">
        <v>43616</v>
      </c>
      <c r="AH222" s="2">
        <v>167.24350000000001</v>
      </c>
      <c r="AI222" s="1">
        <v>43616</v>
      </c>
      <c r="AJ222" s="2">
        <v>389.7756</v>
      </c>
      <c r="AK222" s="1">
        <v>43251</v>
      </c>
      <c r="AL222" s="2">
        <v>5956.99</v>
      </c>
      <c r="AM222" s="1">
        <v>43251</v>
      </c>
      <c r="AN222" s="2">
        <v>2102.5500000000002</v>
      </c>
      <c r="AO222" s="1">
        <v>43251</v>
      </c>
      <c r="AP222" s="2">
        <v>3310.1</v>
      </c>
      <c r="AQ222" s="1">
        <v>43251</v>
      </c>
      <c r="AR222" s="2">
        <v>2290.13</v>
      </c>
      <c r="AS222" s="1">
        <v>43251</v>
      </c>
      <c r="AT222" s="2">
        <v>8741</v>
      </c>
      <c r="AU222" s="1">
        <v>43251</v>
      </c>
      <c r="AV222" s="2">
        <v>4991.8900000000003</v>
      </c>
      <c r="AW222" s="1">
        <v>44712</v>
      </c>
      <c r="AX222" s="2">
        <v>6840.73</v>
      </c>
      <c r="AY222" s="2">
        <v>44651</v>
      </c>
      <c r="AZ222" s="2">
        <v>208.22</v>
      </c>
      <c r="BC222" s="1">
        <v>43251</v>
      </c>
      <c r="BD222" s="2">
        <v>1.0900000000000001</v>
      </c>
      <c r="BE222" s="1">
        <v>43251</v>
      </c>
      <c r="BF222" s="2">
        <v>16.071000000000002</v>
      </c>
      <c r="BG222" s="1">
        <v>43251</v>
      </c>
      <c r="BH222" s="2">
        <v>95.369</v>
      </c>
      <c r="BI222" s="1">
        <v>43251</v>
      </c>
      <c r="BJ222" s="2">
        <v>32.747999999999998</v>
      </c>
      <c r="BK222" s="1">
        <v>43251</v>
      </c>
      <c r="BL222" s="2">
        <v>943.87030000000004</v>
      </c>
      <c r="BM222" s="1">
        <v>44771</v>
      </c>
      <c r="BN222" s="2">
        <v>5008.4930000000004</v>
      </c>
      <c r="BO222" s="1">
        <v>44865</v>
      </c>
      <c r="BP222" s="2">
        <v>528.36</v>
      </c>
    </row>
    <row r="223" spans="1:68" x14ac:dyDescent="0.25">
      <c r="A223" s="1">
        <v>43280</v>
      </c>
      <c r="B223" s="2">
        <v>2477.1170000000002</v>
      </c>
      <c r="C223" s="1">
        <v>43280</v>
      </c>
      <c r="D223" s="2">
        <v>257.68509999999998</v>
      </c>
      <c r="E223" s="1">
        <v>43280</v>
      </c>
      <c r="F223" s="2">
        <v>217.161</v>
      </c>
      <c r="G223" s="1">
        <v>43280</v>
      </c>
      <c r="H223" s="2">
        <v>247.28568000000001</v>
      </c>
      <c r="I223" s="1">
        <v>43312</v>
      </c>
      <c r="J223" s="2">
        <v>148.74340000000001</v>
      </c>
      <c r="K223" s="1">
        <v>43280</v>
      </c>
      <c r="L223" s="2">
        <v>164.01769999999999</v>
      </c>
      <c r="M223" s="1">
        <v>43280</v>
      </c>
      <c r="N223" s="2">
        <v>158.8006</v>
      </c>
      <c r="O223" s="1">
        <v>43312</v>
      </c>
      <c r="P223" s="2">
        <v>127.1091</v>
      </c>
      <c r="Q223" s="1">
        <v>43280</v>
      </c>
      <c r="R223" s="2">
        <v>169.3783</v>
      </c>
      <c r="S223" s="1">
        <v>43280</v>
      </c>
      <c r="T223" s="2">
        <v>514.88329999999996</v>
      </c>
      <c r="U223" s="1">
        <v>43280</v>
      </c>
      <c r="V223" s="2">
        <v>337.71640000000002</v>
      </c>
      <c r="W223" s="1">
        <v>43280</v>
      </c>
      <c r="X223" s="2">
        <v>2062.73</v>
      </c>
      <c r="Y223" s="1">
        <v>43280</v>
      </c>
      <c r="Z223" s="2">
        <v>32.786000000000001</v>
      </c>
      <c r="AA223" s="1">
        <v>43644</v>
      </c>
      <c r="AB223" s="2">
        <v>280.95589999999999</v>
      </c>
      <c r="AC223" s="1">
        <v>43280</v>
      </c>
      <c r="AD223" s="2">
        <v>223.18870000000001</v>
      </c>
      <c r="AE223" s="1">
        <v>43644</v>
      </c>
      <c r="AF223" s="2">
        <v>168.9948</v>
      </c>
      <c r="AG223" s="1">
        <v>43644</v>
      </c>
      <c r="AH223" s="2">
        <v>176.8647</v>
      </c>
      <c r="AI223" s="1">
        <v>43644</v>
      </c>
      <c r="AJ223" s="2">
        <v>418.2826</v>
      </c>
      <c r="AK223" s="1">
        <v>43280</v>
      </c>
      <c r="AL223" s="2">
        <v>5954.15</v>
      </c>
      <c r="AM223" s="1">
        <v>43280</v>
      </c>
      <c r="AN223" s="2">
        <v>2103.61</v>
      </c>
      <c r="AO223" s="1">
        <v>43280</v>
      </c>
      <c r="AP223" s="2">
        <v>3331.96</v>
      </c>
      <c r="AQ223" s="1">
        <v>43280</v>
      </c>
      <c r="AR223" s="2">
        <v>2281.9899999999998</v>
      </c>
      <c r="AS223" s="1">
        <v>43280</v>
      </c>
      <c r="AT223" s="2">
        <v>8727.86</v>
      </c>
      <c r="AU223" s="1">
        <v>43280</v>
      </c>
      <c r="AV223" s="2">
        <v>4994.45</v>
      </c>
      <c r="AW223" s="1">
        <v>44742</v>
      </c>
      <c r="AX223" s="2">
        <v>6386.84</v>
      </c>
      <c r="AY223" s="2">
        <v>44680</v>
      </c>
      <c r="AZ223" s="2">
        <v>186.03</v>
      </c>
      <c r="BC223" s="1">
        <v>43280</v>
      </c>
      <c r="BD223" s="2">
        <v>1.1599999999999999</v>
      </c>
      <c r="BE223" s="1">
        <v>43280</v>
      </c>
      <c r="BF223" s="2">
        <v>11.894</v>
      </c>
      <c r="BG223" s="1">
        <v>43280</v>
      </c>
      <c r="BH223" s="2">
        <v>93.766000000000005</v>
      </c>
      <c r="BI223" s="1">
        <v>43280</v>
      </c>
      <c r="BJ223" s="2">
        <v>24.95</v>
      </c>
      <c r="BK223" s="1">
        <v>43280</v>
      </c>
      <c r="BL223" s="2">
        <v>941.18020000000001</v>
      </c>
      <c r="BM223" s="1">
        <v>44804</v>
      </c>
      <c r="BN223" s="2">
        <v>4854.4799999999996</v>
      </c>
      <c r="BO223" s="1">
        <v>44895</v>
      </c>
      <c r="BP223" s="2">
        <v>550.88</v>
      </c>
    </row>
    <row r="224" spans="1:68" x14ac:dyDescent="0.25">
      <c r="A224" s="1">
        <v>43312</v>
      </c>
      <c r="B224" s="2">
        <v>2456.9810000000002</v>
      </c>
      <c r="C224" s="1">
        <v>43312</v>
      </c>
      <c r="D224" s="2">
        <v>258.23360000000002</v>
      </c>
      <c r="E224" s="1">
        <v>43312</v>
      </c>
      <c r="F224" s="2">
        <v>217.10900000000001</v>
      </c>
      <c r="G224" s="1">
        <v>43312</v>
      </c>
      <c r="H224" s="2">
        <v>252.19319999999999</v>
      </c>
      <c r="I224" s="1">
        <v>43343</v>
      </c>
      <c r="J224" s="2">
        <v>149.85830000000001</v>
      </c>
      <c r="K224" s="1">
        <v>43312</v>
      </c>
      <c r="L224" s="2">
        <v>165.13829999999999</v>
      </c>
      <c r="M224" s="1">
        <v>43312</v>
      </c>
      <c r="N224" s="2">
        <v>157.77719999999999</v>
      </c>
      <c r="O224" s="1">
        <v>43343</v>
      </c>
      <c r="P224" s="2">
        <v>128.02350000000001</v>
      </c>
      <c r="Q224" s="1">
        <v>43312</v>
      </c>
      <c r="R224" s="2">
        <v>168.56399999999999</v>
      </c>
      <c r="S224" s="1">
        <v>43312</v>
      </c>
      <c r="T224" s="2">
        <v>515.02440000000001</v>
      </c>
      <c r="U224" s="1">
        <v>43312</v>
      </c>
      <c r="V224" s="2">
        <v>336.67930000000001</v>
      </c>
      <c r="W224" s="1">
        <v>43312</v>
      </c>
      <c r="X224" s="2">
        <v>2060.5500000000002</v>
      </c>
      <c r="Y224" s="1">
        <v>43312</v>
      </c>
      <c r="Z224" s="2">
        <v>28.632000000000001</v>
      </c>
      <c r="AA224" s="1">
        <v>43677</v>
      </c>
      <c r="AB224" s="2">
        <v>280.72269999999997</v>
      </c>
      <c r="AC224" s="1">
        <v>43312</v>
      </c>
      <c r="AD224" s="2">
        <v>218.6618</v>
      </c>
      <c r="AE224" s="1">
        <v>43677</v>
      </c>
      <c r="AF224" s="2">
        <v>163.85640000000001</v>
      </c>
      <c r="AG224" s="1">
        <v>43677</v>
      </c>
      <c r="AH224" s="2">
        <v>177.79239999999999</v>
      </c>
      <c r="AI224" s="1">
        <v>43677</v>
      </c>
      <c r="AJ224" s="2">
        <v>428.01960000000003</v>
      </c>
      <c r="AK224" s="1">
        <v>43312</v>
      </c>
      <c r="AL224" s="2">
        <v>6140.12</v>
      </c>
      <c r="AM224" s="1">
        <v>43312</v>
      </c>
      <c r="AN224" s="2">
        <v>2177.8200000000002</v>
      </c>
      <c r="AO224" s="1">
        <v>43312</v>
      </c>
      <c r="AP224" s="2">
        <v>3437.73</v>
      </c>
      <c r="AQ224" s="1">
        <v>43312</v>
      </c>
      <c r="AR224" s="2">
        <v>2332.7199999999998</v>
      </c>
      <c r="AS224" s="1">
        <v>43312</v>
      </c>
      <c r="AT224" s="2">
        <v>9047.24</v>
      </c>
      <c r="AU224" s="1">
        <v>43312</v>
      </c>
      <c r="AV224" s="2">
        <v>5124.82</v>
      </c>
      <c r="AW224" s="1">
        <v>44771</v>
      </c>
      <c r="AX224" s="2">
        <v>6881.65</v>
      </c>
      <c r="AY224" s="2">
        <v>44712</v>
      </c>
      <c r="AZ224" s="2">
        <v>187.08</v>
      </c>
      <c r="BC224" s="1">
        <v>43312</v>
      </c>
      <c r="BD224" s="2">
        <v>1.03</v>
      </c>
      <c r="BE224" s="1">
        <v>43312</v>
      </c>
      <c r="BF224" s="2">
        <v>11.021000000000001</v>
      </c>
      <c r="BG224" s="1">
        <v>43312</v>
      </c>
      <c r="BH224" s="2">
        <v>93.441999999999993</v>
      </c>
      <c r="BI224" s="1">
        <v>43312</v>
      </c>
      <c r="BJ224" s="2">
        <v>23.256</v>
      </c>
      <c r="BK224" s="1">
        <v>43312</v>
      </c>
      <c r="BL224" s="2">
        <v>937.30309999999997</v>
      </c>
      <c r="BM224" s="1">
        <v>44834</v>
      </c>
      <c r="BN224" s="2">
        <v>4442.6850000000004</v>
      </c>
      <c r="BO224" s="1">
        <v>44925</v>
      </c>
      <c r="BP224" s="2">
        <v>563.04</v>
      </c>
    </row>
    <row r="225" spans="1:68" x14ac:dyDescent="0.25">
      <c r="A225" s="1">
        <v>43343</v>
      </c>
      <c r="B225" s="2">
        <v>2553.4459999999999</v>
      </c>
      <c r="C225" s="1">
        <v>43343</v>
      </c>
      <c r="D225" s="2">
        <v>246.68969999999999</v>
      </c>
      <c r="E225" s="1">
        <v>43343</v>
      </c>
      <c r="F225" s="2">
        <v>214.06800000000001</v>
      </c>
      <c r="G225" s="1">
        <v>43343</v>
      </c>
      <c r="H225" s="2">
        <v>234.52392</v>
      </c>
      <c r="I225" s="1">
        <v>43371</v>
      </c>
      <c r="J225" s="2">
        <v>148.9571</v>
      </c>
      <c r="K225" s="1">
        <v>43343</v>
      </c>
      <c r="L225" s="2">
        <v>165.8954</v>
      </c>
      <c r="M225" s="1">
        <v>43343</v>
      </c>
      <c r="N225" s="2">
        <v>157.75720000000001</v>
      </c>
      <c r="O225" s="1">
        <v>43371</v>
      </c>
      <c r="P225" s="2">
        <v>128.0701</v>
      </c>
      <c r="Q225" s="1">
        <v>43343</v>
      </c>
      <c r="R225" s="2">
        <v>171.20410000000001</v>
      </c>
      <c r="S225" s="1">
        <v>43343</v>
      </c>
      <c r="T225" s="2">
        <v>516.60720000000003</v>
      </c>
      <c r="U225" s="1">
        <v>43343</v>
      </c>
      <c r="V225" s="2">
        <v>334.85739999999998</v>
      </c>
      <c r="W225" s="1">
        <v>43343</v>
      </c>
      <c r="X225" s="2">
        <v>2073.0300000000002</v>
      </c>
      <c r="Y225" s="1">
        <v>43343</v>
      </c>
      <c r="Z225" s="2">
        <v>23.138999999999999</v>
      </c>
      <c r="AA225" s="1">
        <v>43707</v>
      </c>
      <c r="AB225" s="2">
        <v>274.56330000000003</v>
      </c>
      <c r="AC225" s="1">
        <v>43343</v>
      </c>
      <c r="AD225" s="2">
        <v>213.81870000000001</v>
      </c>
      <c r="AE225" s="1">
        <v>43707</v>
      </c>
      <c r="AF225" s="2">
        <v>155.2784</v>
      </c>
      <c r="AG225" s="1">
        <v>43707</v>
      </c>
      <c r="AH225" s="2">
        <v>164.596</v>
      </c>
      <c r="AI225" s="1">
        <v>43707</v>
      </c>
      <c r="AJ225" s="2">
        <v>460.0795</v>
      </c>
      <c r="AK225" s="1">
        <v>43343</v>
      </c>
      <c r="AL225" s="2">
        <v>6216.09</v>
      </c>
      <c r="AM225" s="1">
        <v>43343</v>
      </c>
      <c r="AN225" s="2">
        <v>2245.9499999999998</v>
      </c>
      <c r="AO225" s="1">
        <v>43343</v>
      </c>
      <c r="AP225" s="2">
        <v>3490.82</v>
      </c>
      <c r="AQ225" s="1">
        <v>43343</v>
      </c>
      <c r="AR225" s="2">
        <v>2437.9499999999998</v>
      </c>
      <c r="AS225" s="1">
        <v>43343</v>
      </c>
      <c r="AT225" s="2">
        <v>8996.44</v>
      </c>
      <c r="AU225" s="1">
        <v>43343</v>
      </c>
      <c r="AV225" s="2">
        <v>5277.37</v>
      </c>
      <c r="AW225" s="1">
        <v>44804</v>
      </c>
      <c r="AX225" s="2">
        <v>6420.08</v>
      </c>
      <c r="AY225" s="2">
        <v>44742</v>
      </c>
      <c r="AZ225" s="2">
        <v>161.57</v>
      </c>
      <c r="BC225" s="1">
        <v>43343</v>
      </c>
      <c r="BD225" s="2">
        <v>1.08</v>
      </c>
      <c r="BE225" s="1">
        <v>43343</v>
      </c>
      <c r="BF225" s="2">
        <v>12.052</v>
      </c>
      <c r="BG225" s="1">
        <v>43343</v>
      </c>
      <c r="BH225" s="2">
        <v>75.885000000000005</v>
      </c>
      <c r="BI225" s="1">
        <v>43343</v>
      </c>
      <c r="BJ225" s="2">
        <v>28.001999999999999</v>
      </c>
      <c r="BK225" s="1">
        <v>43343</v>
      </c>
      <c r="BL225" s="2">
        <v>935.44269999999995</v>
      </c>
      <c r="BM225" s="1">
        <v>44865</v>
      </c>
      <c r="BN225" s="2">
        <v>4873.4780000000001</v>
      </c>
      <c r="BO225" s="1">
        <v>44957</v>
      </c>
      <c r="BP225" s="2">
        <v>593.32000000000005</v>
      </c>
    </row>
    <row r="226" spans="1:68" x14ac:dyDescent="0.25">
      <c r="A226" s="1">
        <v>43371</v>
      </c>
      <c r="B226" s="2">
        <v>2528.7809999999999</v>
      </c>
      <c r="C226" s="1">
        <v>43371</v>
      </c>
      <c r="D226" s="2">
        <v>249.99289999999999</v>
      </c>
      <c r="E226" s="1">
        <v>43371</v>
      </c>
      <c r="F226" s="2">
        <v>212.83799999999999</v>
      </c>
      <c r="G226" s="1">
        <v>43371</v>
      </c>
      <c r="H226" s="2">
        <v>240.06720000000001</v>
      </c>
      <c r="I226" s="1">
        <v>43404</v>
      </c>
      <c r="J226" s="2">
        <v>149.2122</v>
      </c>
      <c r="K226" s="1">
        <v>43371</v>
      </c>
      <c r="L226" s="2">
        <v>163.77010000000001</v>
      </c>
      <c r="M226" s="1">
        <v>43371</v>
      </c>
      <c r="N226" s="2">
        <v>156.52160000000001</v>
      </c>
      <c r="O226" s="1">
        <v>43404</v>
      </c>
      <c r="P226" s="2">
        <v>127.5981</v>
      </c>
      <c r="Q226" s="1">
        <v>43371</v>
      </c>
      <c r="R226" s="2">
        <v>169.85</v>
      </c>
      <c r="S226" s="1">
        <v>43371</v>
      </c>
      <c r="T226" s="2">
        <v>514.63099999999997</v>
      </c>
      <c r="U226" s="1">
        <v>43371</v>
      </c>
      <c r="V226" s="2">
        <v>332.20069999999998</v>
      </c>
      <c r="W226" s="1">
        <v>43371</v>
      </c>
      <c r="X226" s="2">
        <v>2060.3000000000002</v>
      </c>
      <c r="Y226" s="1">
        <v>43371</v>
      </c>
      <c r="Z226" s="2">
        <v>23.831</v>
      </c>
      <c r="AA226" s="1">
        <v>43738</v>
      </c>
      <c r="AB226" s="2">
        <v>276.90600000000001</v>
      </c>
      <c r="AC226" s="1">
        <v>43371</v>
      </c>
      <c r="AD226" s="2">
        <v>216.3313</v>
      </c>
      <c r="AE226" s="1">
        <v>43738</v>
      </c>
      <c r="AF226" s="2">
        <v>162.50839999999999</v>
      </c>
      <c r="AG226" s="1">
        <v>43738</v>
      </c>
      <c r="AH226" s="2">
        <v>166.4101</v>
      </c>
      <c r="AI226" s="1">
        <v>43738</v>
      </c>
      <c r="AJ226" s="2">
        <v>440.40359999999998</v>
      </c>
      <c r="AK226" s="1">
        <v>43371</v>
      </c>
      <c r="AL226" s="2">
        <v>6250.7</v>
      </c>
      <c r="AM226" s="1">
        <v>43371</v>
      </c>
      <c r="AN226" s="2">
        <v>2250.59</v>
      </c>
      <c r="AO226" s="1">
        <v>43371</v>
      </c>
      <c r="AP226" s="2">
        <v>3532.63</v>
      </c>
      <c r="AQ226" s="1">
        <v>43371</v>
      </c>
      <c r="AR226" s="2">
        <v>2461.5500000000002</v>
      </c>
      <c r="AS226" s="1">
        <v>43371</v>
      </c>
      <c r="AT226" s="2">
        <v>9081.56</v>
      </c>
      <c r="AU226" s="1">
        <v>43371</v>
      </c>
      <c r="AV226" s="2">
        <v>5287.58</v>
      </c>
      <c r="AW226" s="1">
        <v>44834</v>
      </c>
      <c r="AX226" s="2">
        <v>5735.84</v>
      </c>
      <c r="AY226" s="2">
        <v>44771</v>
      </c>
      <c r="AZ226" s="2">
        <v>181.16</v>
      </c>
      <c r="BC226" s="1">
        <v>43371</v>
      </c>
      <c r="BD226" s="2">
        <v>1</v>
      </c>
      <c r="BE226" s="1">
        <v>43371</v>
      </c>
      <c r="BF226" s="2">
        <v>10.663</v>
      </c>
      <c r="BG226" s="1">
        <v>43371</v>
      </c>
      <c r="BH226" s="2">
        <v>85.713999999999999</v>
      </c>
      <c r="BI226" s="1">
        <v>43371</v>
      </c>
      <c r="BJ226" s="2">
        <v>25.114000000000001</v>
      </c>
      <c r="BK226" s="1">
        <v>43371</v>
      </c>
      <c r="BL226" s="2">
        <v>925.91690000000006</v>
      </c>
      <c r="BM226" s="1">
        <v>44895</v>
      </c>
      <c r="BN226" s="2">
        <v>5225.9120000000003</v>
      </c>
      <c r="BO226" s="1">
        <v>44985</v>
      </c>
      <c r="BP226" s="2">
        <v>597.51</v>
      </c>
    </row>
    <row r="227" spans="1:68" x14ac:dyDescent="0.25">
      <c r="A227" s="1">
        <v>43404</v>
      </c>
      <c r="B227" s="2">
        <v>2418.9110000000001</v>
      </c>
      <c r="C227" s="1">
        <v>43404</v>
      </c>
      <c r="D227" s="2">
        <v>254.34710000000001</v>
      </c>
      <c r="E227" s="1">
        <v>43404</v>
      </c>
      <c r="F227" s="2">
        <v>215.96700000000001</v>
      </c>
      <c r="G227" s="1">
        <v>43404</v>
      </c>
      <c r="H227" s="2">
        <v>239.00181000000001</v>
      </c>
      <c r="I227" s="1">
        <v>43434</v>
      </c>
      <c r="J227" s="2">
        <v>148.85409999999999</v>
      </c>
      <c r="K227" s="1">
        <v>43404</v>
      </c>
      <c r="L227" s="2">
        <v>162.45359999999999</v>
      </c>
      <c r="M227" s="1">
        <v>43404</v>
      </c>
      <c r="N227" s="2">
        <v>157.89150000000001</v>
      </c>
      <c r="O227" s="1">
        <v>43434</v>
      </c>
      <c r="P227" s="2">
        <v>128.94290000000001</v>
      </c>
      <c r="Q227" s="1">
        <v>43404</v>
      </c>
      <c r="R227" s="2">
        <v>171.88939999999999</v>
      </c>
      <c r="S227" s="1">
        <v>43404</v>
      </c>
      <c r="T227" s="2">
        <v>513.62540000000001</v>
      </c>
      <c r="U227" s="1">
        <v>43404</v>
      </c>
      <c r="V227" s="2">
        <v>328.5258</v>
      </c>
      <c r="W227" s="1">
        <v>43404</v>
      </c>
      <c r="X227" s="2">
        <v>2047.31</v>
      </c>
      <c r="Y227" s="1">
        <v>43404</v>
      </c>
      <c r="Z227" s="2">
        <v>27.259</v>
      </c>
      <c r="AA227" s="1">
        <v>43769</v>
      </c>
      <c r="AB227" s="2">
        <v>282.85700000000003</v>
      </c>
      <c r="AC227" s="1">
        <v>43404</v>
      </c>
      <c r="AD227" s="2">
        <v>211.00120000000001</v>
      </c>
      <c r="AE227" s="1">
        <v>43769</v>
      </c>
      <c r="AF227" s="2">
        <v>165.83369999999999</v>
      </c>
      <c r="AG227" s="1">
        <v>43769</v>
      </c>
      <c r="AH227" s="2">
        <v>168.62780000000001</v>
      </c>
      <c r="AI227" s="1">
        <v>43769</v>
      </c>
      <c r="AJ227" s="2">
        <v>456.81009999999998</v>
      </c>
      <c r="AK227" s="1">
        <v>43404</v>
      </c>
      <c r="AL227" s="2">
        <v>5791.72</v>
      </c>
      <c r="AM227" s="1">
        <v>43404</v>
      </c>
      <c r="AN227" s="2">
        <v>2084.25</v>
      </c>
      <c r="AO227" s="1">
        <v>43404</v>
      </c>
      <c r="AP227" s="2">
        <v>3371.35</v>
      </c>
      <c r="AQ227" s="1">
        <v>43404</v>
      </c>
      <c r="AR227" s="2">
        <v>2218.4499999999998</v>
      </c>
      <c r="AS227" s="1">
        <v>43404</v>
      </c>
      <c r="AT227" s="2">
        <v>8600.4599999999991</v>
      </c>
      <c r="AU227" s="1">
        <v>43404</v>
      </c>
      <c r="AV227" s="2">
        <v>4797.96</v>
      </c>
      <c r="AW227" s="1">
        <v>44865</v>
      </c>
      <c r="AX227" s="2">
        <v>5964.91</v>
      </c>
      <c r="AY227" s="2">
        <v>44804</v>
      </c>
      <c r="AZ227" s="2">
        <v>170.18</v>
      </c>
      <c r="BC227" s="1">
        <v>43404</v>
      </c>
      <c r="BD227" s="2">
        <v>1.1200000000000001</v>
      </c>
      <c r="BE227" s="1">
        <v>43404</v>
      </c>
      <c r="BF227" s="2">
        <v>16.687000000000001</v>
      </c>
      <c r="BG227" s="1">
        <v>43404</v>
      </c>
      <c r="BH227" s="2">
        <v>81.52</v>
      </c>
      <c r="BI227" s="1">
        <v>43404</v>
      </c>
      <c r="BJ227" s="2">
        <v>41.426000000000002</v>
      </c>
      <c r="BK227" s="1">
        <v>43404</v>
      </c>
      <c r="BL227" s="2">
        <v>915.75019999999995</v>
      </c>
      <c r="BM227" s="1">
        <v>44925</v>
      </c>
      <c r="BN227" s="2">
        <v>5095.8720000000003</v>
      </c>
      <c r="BO227" s="1">
        <v>45016</v>
      </c>
      <c r="BP227" s="2">
        <v>609.27</v>
      </c>
    </row>
    <row r="228" spans="1:68" x14ac:dyDescent="0.25">
      <c r="A228" s="1">
        <v>43434</v>
      </c>
      <c r="B228" s="2">
        <v>2376.41</v>
      </c>
      <c r="C228" s="1">
        <v>43434</v>
      </c>
      <c r="D228" s="2">
        <v>263.19349999999997</v>
      </c>
      <c r="E228" s="1">
        <v>43434</v>
      </c>
      <c r="F228" s="2">
        <v>218.44</v>
      </c>
      <c r="G228" s="1">
        <v>43434</v>
      </c>
      <c r="H228" s="2">
        <v>247.05770999999999</v>
      </c>
      <c r="I228" s="1">
        <v>43465</v>
      </c>
      <c r="J228" s="2">
        <v>150.2723</v>
      </c>
      <c r="K228" s="1">
        <v>43434</v>
      </c>
      <c r="L228" s="2">
        <v>160.8312</v>
      </c>
      <c r="M228" s="1">
        <v>43434</v>
      </c>
      <c r="N228" s="2">
        <v>157.02459999999999</v>
      </c>
      <c r="O228" s="1">
        <v>43465</v>
      </c>
      <c r="P228" s="2">
        <v>129.2534</v>
      </c>
      <c r="Q228" s="1">
        <v>43434</v>
      </c>
      <c r="R228" s="2">
        <v>169.89590000000001</v>
      </c>
      <c r="S228" s="1">
        <v>43434</v>
      </c>
      <c r="T228" s="2">
        <v>516.13840000000005</v>
      </c>
      <c r="U228" s="1">
        <v>43434</v>
      </c>
      <c r="V228" s="2">
        <v>325.5643</v>
      </c>
      <c r="W228" s="1">
        <v>43434</v>
      </c>
      <c r="X228" s="2">
        <v>2065.7600000000002</v>
      </c>
      <c r="Y228" s="1">
        <v>43434</v>
      </c>
      <c r="Z228" s="2">
        <v>19.937999999999999</v>
      </c>
      <c r="AA228" s="1">
        <v>43798</v>
      </c>
      <c r="AB228" s="2">
        <v>277.36810000000003</v>
      </c>
      <c r="AC228" s="1">
        <v>43434</v>
      </c>
      <c r="AD228" s="2">
        <v>206.81890000000001</v>
      </c>
      <c r="AE228" s="1">
        <v>43798</v>
      </c>
      <c r="AF228" s="2">
        <v>164.2482</v>
      </c>
      <c r="AG228" s="1">
        <v>43798</v>
      </c>
      <c r="AH228" s="2">
        <v>170.3058</v>
      </c>
      <c r="AI228" s="1">
        <v>43798</v>
      </c>
      <c r="AJ228" s="2">
        <v>439.86130000000003</v>
      </c>
      <c r="AK228" s="1">
        <v>43434</v>
      </c>
      <c r="AL228" s="2">
        <v>5857.52</v>
      </c>
      <c r="AM228" s="1">
        <v>43434</v>
      </c>
      <c r="AN228" s="2">
        <v>2093.6</v>
      </c>
      <c r="AO228" s="1">
        <v>43434</v>
      </c>
      <c r="AP228" s="2">
        <v>3468.5</v>
      </c>
      <c r="AQ228" s="1">
        <v>43434</v>
      </c>
      <c r="AR228" s="2">
        <v>2250.14</v>
      </c>
      <c r="AS228" s="1">
        <v>43434</v>
      </c>
      <c r="AT228" s="2">
        <v>8740.1</v>
      </c>
      <c r="AU228" s="1">
        <v>43434</v>
      </c>
      <c r="AV228" s="2">
        <v>4829.5200000000004</v>
      </c>
      <c r="AW228" s="1">
        <v>44895</v>
      </c>
      <c r="AX228" s="2">
        <v>6307.85</v>
      </c>
      <c r="AY228" s="2">
        <v>44834</v>
      </c>
      <c r="AZ228" s="2">
        <v>143.55000000000001</v>
      </c>
      <c r="BC228" s="1">
        <v>43434</v>
      </c>
      <c r="BD228" s="2">
        <v>1.29</v>
      </c>
      <c r="BE228" s="1">
        <v>43434</v>
      </c>
      <c r="BF228" s="2">
        <v>17.367999999999999</v>
      </c>
      <c r="BG228" s="1">
        <v>43434</v>
      </c>
      <c r="BH228" s="2">
        <v>64.031999999999996</v>
      </c>
      <c r="BI228" s="1">
        <v>43434</v>
      </c>
      <c r="BJ228" s="2">
        <v>47.585999999999999</v>
      </c>
      <c r="BK228" s="1">
        <v>43434</v>
      </c>
      <c r="BL228" s="2">
        <v>920.16020000000003</v>
      </c>
      <c r="BM228" s="1">
        <v>44957</v>
      </c>
      <c r="BN228" s="2">
        <v>5613.6189999999997</v>
      </c>
      <c r="BO228" s="1">
        <v>45044</v>
      </c>
      <c r="BP228" s="2">
        <v>641.59</v>
      </c>
    </row>
    <row r="229" spans="1:68" x14ac:dyDescent="0.25">
      <c r="A229" s="1">
        <v>43465</v>
      </c>
      <c r="B229" s="2">
        <v>2398.8710000000001</v>
      </c>
      <c r="C229" s="1">
        <v>43465</v>
      </c>
      <c r="D229" s="2">
        <v>256.34289999999999</v>
      </c>
      <c r="E229" s="1">
        <v>43465</v>
      </c>
      <c r="F229" s="2">
        <v>210.958</v>
      </c>
      <c r="G229" s="1">
        <v>43465</v>
      </c>
      <c r="H229" s="2">
        <v>248.52542</v>
      </c>
      <c r="I229" s="1">
        <v>43496</v>
      </c>
      <c r="J229" s="2">
        <v>148.37309999999999</v>
      </c>
      <c r="K229" s="1">
        <v>43465</v>
      </c>
      <c r="L229" s="2">
        <v>165.90270000000001</v>
      </c>
      <c r="M229" s="1">
        <v>43465</v>
      </c>
      <c r="N229" s="2">
        <v>158.91319999999999</v>
      </c>
      <c r="O229" s="1">
        <v>43496</v>
      </c>
      <c r="P229" s="2">
        <v>127.294</v>
      </c>
      <c r="Q229" s="1">
        <v>43465</v>
      </c>
      <c r="R229" s="2">
        <v>169.70009999999999</v>
      </c>
      <c r="S229" s="1">
        <v>43465</v>
      </c>
      <c r="T229" s="2">
        <v>523.59379999999999</v>
      </c>
      <c r="U229" s="1">
        <v>43465</v>
      </c>
      <c r="V229" s="2">
        <v>329.54790000000003</v>
      </c>
      <c r="W229" s="1">
        <v>43465</v>
      </c>
      <c r="X229" s="2">
        <v>2103.2199999999998</v>
      </c>
      <c r="Y229" s="1">
        <v>43465</v>
      </c>
      <c r="Z229" s="2">
        <v>19.233000000000001</v>
      </c>
      <c r="AA229" s="1">
        <v>43830</v>
      </c>
      <c r="AB229" s="2">
        <v>292.35669999999999</v>
      </c>
      <c r="AC229" s="1">
        <v>43465</v>
      </c>
      <c r="AD229" s="2">
        <v>194.92590000000001</v>
      </c>
      <c r="AE229" s="1">
        <v>43830</v>
      </c>
      <c r="AF229" s="2">
        <v>172.67230000000001</v>
      </c>
      <c r="AG229" s="1">
        <v>43830</v>
      </c>
      <c r="AH229" s="2">
        <v>184.78</v>
      </c>
      <c r="AI229" s="1">
        <v>43830</v>
      </c>
      <c r="AJ229" s="2">
        <v>456.89249999999998</v>
      </c>
      <c r="AK229" s="1">
        <v>43465</v>
      </c>
      <c r="AL229" s="2">
        <v>5412.12</v>
      </c>
      <c r="AM229" s="1">
        <v>43465</v>
      </c>
      <c r="AN229" s="2">
        <v>1941.79</v>
      </c>
      <c r="AO229" s="1">
        <v>43465</v>
      </c>
      <c r="AP229" s="2">
        <v>3275.55</v>
      </c>
      <c r="AQ229" s="1">
        <v>43465</v>
      </c>
      <c r="AR229" s="2">
        <v>2084.16</v>
      </c>
      <c r="AS229" s="1">
        <v>43465</v>
      </c>
      <c r="AT229" s="2">
        <v>8059.61</v>
      </c>
      <c r="AU229" s="1">
        <v>43465</v>
      </c>
      <c r="AV229" s="2">
        <v>4471.2</v>
      </c>
      <c r="AW229" s="1">
        <v>44925</v>
      </c>
      <c r="AX229" s="2">
        <v>5961.14</v>
      </c>
      <c r="AY229" s="2">
        <v>44865</v>
      </c>
      <c r="AZ229" s="2">
        <v>156.63</v>
      </c>
      <c r="BC229" s="1">
        <v>43465</v>
      </c>
      <c r="BD229" s="2">
        <v>1.43</v>
      </c>
      <c r="BE229" s="1">
        <v>43465</v>
      </c>
      <c r="BF229" s="2">
        <v>17.13</v>
      </c>
      <c r="BG229" s="1">
        <v>43465</v>
      </c>
      <c r="BH229" s="2">
        <v>31.469000000000001</v>
      </c>
      <c r="BI229" s="1">
        <v>43465</v>
      </c>
      <c r="BJ229" s="2">
        <v>50.34</v>
      </c>
      <c r="BK229" s="1">
        <v>43465</v>
      </c>
      <c r="BL229" s="2">
        <v>942.1404</v>
      </c>
      <c r="BM229" s="1">
        <v>44985</v>
      </c>
      <c r="BN229" s="2">
        <v>5508.8819999999996</v>
      </c>
      <c r="BO229" s="1">
        <v>45077</v>
      </c>
      <c r="BP229" s="2">
        <v>659.6</v>
      </c>
    </row>
    <row r="230" spans="1:68" x14ac:dyDescent="0.25">
      <c r="A230" s="1">
        <v>43496</v>
      </c>
      <c r="B230" s="2">
        <v>2321.8420000000001</v>
      </c>
      <c r="C230" s="1">
        <v>43496</v>
      </c>
      <c r="D230" s="2">
        <v>264.69349999999997</v>
      </c>
      <c r="E230" s="1">
        <v>43496</v>
      </c>
      <c r="F230" s="2">
        <v>216.739</v>
      </c>
      <c r="G230" s="1">
        <v>43496</v>
      </c>
      <c r="H230" s="2">
        <v>256.84102000000001</v>
      </c>
      <c r="I230" s="1">
        <v>43524</v>
      </c>
      <c r="J230" s="2">
        <v>148.27699999999999</v>
      </c>
      <c r="K230" s="1">
        <v>43496</v>
      </c>
      <c r="L230" s="2">
        <v>161.0692</v>
      </c>
      <c r="M230" s="1">
        <v>43496</v>
      </c>
      <c r="N230" s="2">
        <v>160.69739999999999</v>
      </c>
      <c r="O230" s="1">
        <v>43524</v>
      </c>
      <c r="P230" s="2">
        <v>127.5669</v>
      </c>
      <c r="Q230" s="1">
        <v>43496</v>
      </c>
      <c r="R230" s="2">
        <v>167.64599999999999</v>
      </c>
      <c r="S230" s="1">
        <v>43496</v>
      </c>
      <c r="T230" s="2">
        <v>529.13969999999995</v>
      </c>
      <c r="U230" s="1">
        <v>43496</v>
      </c>
      <c r="V230" s="2">
        <v>336.661</v>
      </c>
      <c r="W230" s="1">
        <v>43496</v>
      </c>
      <c r="X230" s="2">
        <v>2119.9</v>
      </c>
      <c r="Y230" s="1">
        <v>43496</v>
      </c>
      <c r="Z230" s="2">
        <v>16.96</v>
      </c>
      <c r="AA230" s="1">
        <v>43861</v>
      </c>
      <c r="AB230" s="2">
        <v>273.40320000000003</v>
      </c>
      <c r="AC230" s="1">
        <v>43496</v>
      </c>
      <c r="AD230" s="2">
        <v>204.32060000000001</v>
      </c>
      <c r="AE230" s="1">
        <v>43861</v>
      </c>
      <c r="AF230" s="2">
        <v>162.0129</v>
      </c>
      <c r="AG230" s="1">
        <v>43861</v>
      </c>
      <c r="AH230" s="2">
        <v>160.43369999999999</v>
      </c>
      <c r="AI230" s="1">
        <v>43861</v>
      </c>
      <c r="AJ230" s="2">
        <v>471.72239999999999</v>
      </c>
      <c r="AK230" s="1">
        <v>43496</v>
      </c>
      <c r="AL230" s="2">
        <v>5833.22</v>
      </c>
      <c r="AM230" s="1">
        <v>43496</v>
      </c>
      <c r="AN230" s="2">
        <v>2087.9699999999998</v>
      </c>
      <c r="AO230" s="1">
        <v>43496</v>
      </c>
      <c r="AP230" s="2">
        <v>3444.37</v>
      </c>
      <c r="AQ230" s="1">
        <v>43496</v>
      </c>
      <c r="AR230" s="2">
        <v>2217.17</v>
      </c>
      <c r="AS230" s="1">
        <v>43496</v>
      </c>
      <c r="AT230" s="2">
        <v>8639.17</v>
      </c>
      <c r="AU230" s="1">
        <v>43496</v>
      </c>
      <c r="AV230" s="2">
        <v>4845.82</v>
      </c>
      <c r="AW230" s="1">
        <v>44957</v>
      </c>
      <c r="AX230" s="2">
        <v>6349.84</v>
      </c>
      <c r="AY230" s="2">
        <v>44895</v>
      </c>
      <c r="AZ230" s="2">
        <v>171.15</v>
      </c>
      <c r="BC230" s="1">
        <v>43496</v>
      </c>
      <c r="BD230" s="2">
        <v>1.21</v>
      </c>
      <c r="BE230" s="1">
        <v>43496</v>
      </c>
      <c r="BF230" s="2">
        <v>19.105</v>
      </c>
      <c r="BG230" s="1">
        <v>43496</v>
      </c>
      <c r="BH230" s="2">
        <v>23.253</v>
      </c>
      <c r="BI230" s="1">
        <v>43496</v>
      </c>
      <c r="BJ230" s="2">
        <v>55.744</v>
      </c>
      <c r="BK230" s="1">
        <v>43496</v>
      </c>
      <c r="BL230" s="2">
        <v>955.38699999999994</v>
      </c>
      <c r="BM230" s="1">
        <v>45016</v>
      </c>
      <c r="BN230" s="2">
        <v>5890.2290000000003</v>
      </c>
      <c r="BO230" s="1">
        <v>45107</v>
      </c>
      <c r="BP230" s="2">
        <v>705.3</v>
      </c>
    </row>
    <row r="231" spans="1:68" x14ac:dyDescent="0.25">
      <c r="A231" s="1">
        <v>43524</v>
      </c>
      <c r="B231" s="2">
        <v>2340.3609999999999</v>
      </c>
      <c r="C231" s="1">
        <v>43524</v>
      </c>
      <c r="D231" s="2">
        <v>262.2423</v>
      </c>
      <c r="E231" s="1">
        <v>43524</v>
      </c>
      <c r="F231" s="2">
        <v>215.37899999999999</v>
      </c>
      <c r="G231" s="1">
        <v>43524</v>
      </c>
      <c r="H231" s="2">
        <v>252.86447000000001</v>
      </c>
      <c r="I231" s="1">
        <v>43553</v>
      </c>
      <c r="J231" s="2">
        <v>149.0427</v>
      </c>
      <c r="K231" s="1">
        <v>43524</v>
      </c>
      <c r="L231" s="2">
        <v>160.20939999999999</v>
      </c>
      <c r="M231" s="1">
        <v>43524</v>
      </c>
      <c r="N231" s="2">
        <v>159.70519999999999</v>
      </c>
      <c r="O231" s="1">
        <v>43553</v>
      </c>
      <c r="P231" s="2">
        <v>126.8091</v>
      </c>
      <c r="Q231" s="1">
        <v>43524</v>
      </c>
      <c r="R231" s="2">
        <v>168.2311</v>
      </c>
      <c r="S231" s="1">
        <v>43524</v>
      </c>
      <c r="T231" s="2">
        <v>529.77549999999997</v>
      </c>
      <c r="U231" s="1">
        <v>43524</v>
      </c>
      <c r="V231" s="2">
        <v>335.47399999999999</v>
      </c>
      <c r="W231" s="1">
        <v>43524</v>
      </c>
      <c r="X231" s="2">
        <v>2117.9699999999998</v>
      </c>
      <c r="Y231" s="1">
        <v>43524</v>
      </c>
      <c r="Z231" s="2">
        <v>19.885000000000002</v>
      </c>
      <c r="AA231" s="1">
        <v>43889</v>
      </c>
      <c r="AB231" s="2">
        <v>258.98110000000003</v>
      </c>
      <c r="AC231" s="1">
        <v>43524</v>
      </c>
      <c r="AD231" s="2">
        <v>206.25829999999999</v>
      </c>
      <c r="AE231" s="1">
        <v>43889</v>
      </c>
      <c r="AF231" s="2">
        <v>157.77619999999999</v>
      </c>
      <c r="AG231" s="1">
        <v>43889</v>
      </c>
      <c r="AH231" s="2">
        <v>141.8098</v>
      </c>
      <c r="AI231" s="1">
        <v>43889</v>
      </c>
      <c r="AJ231" s="2">
        <v>458.09519999999998</v>
      </c>
      <c r="AK231" s="1">
        <v>43524</v>
      </c>
      <c r="AL231" s="2">
        <v>6008.62</v>
      </c>
      <c r="AM231" s="1">
        <v>43524</v>
      </c>
      <c r="AN231" s="2">
        <v>2182.23</v>
      </c>
      <c r="AO231" s="1">
        <v>43524</v>
      </c>
      <c r="AP231" s="2">
        <v>3548.81</v>
      </c>
      <c r="AQ231" s="1">
        <v>43524</v>
      </c>
      <c r="AR231" s="2">
        <v>2298.65</v>
      </c>
      <c r="AS231" s="1">
        <v>43524</v>
      </c>
      <c r="AT231" s="2">
        <v>8860.98</v>
      </c>
      <c r="AU231" s="1">
        <v>43524</v>
      </c>
      <c r="AV231" s="2">
        <v>5012.88</v>
      </c>
      <c r="AW231" s="1">
        <v>44985</v>
      </c>
      <c r="AX231" s="2">
        <v>6054.02</v>
      </c>
      <c r="AY231" s="2">
        <v>44925</v>
      </c>
      <c r="AZ231" s="2">
        <v>158.59</v>
      </c>
      <c r="BC231" s="1">
        <v>43524</v>
      </c>
      <c r="BD231" s="2">
        <v>1.1399999999999999</v>
      </c>
      <c r="BE231" s="1">
        <v>43524</v>
      </c>
      <c r="BF231" s="2">
        <v>20.108000000000001</v>
      </c>
      <c r="BG231" s="1">
        <v>43524</v>
      </c>
      <c r="BH231" s="2">
        <v>27.463999999999999</v>
      </c>
      <c r="BI231" s="1">
        <v>43524</v>
      </c>
      <c r="BJ231" s="2">
        <v>56.55</v>
      </c>
      <c r="BK231" s="1">
        <v>43524</v>
      </c>
      <c r="BL231" s="2">
        <v>946.58529999999996</v>
      </c>
      <c r="BM231" s="1">
        <v>45044</v>
      </c>
      <c r="BN231" s="2">
        <v>5984.52</v>
      </c>
      <c r="BO231" s="1">
        <v>45138</v>
      </c>
      <c r="BP231" s="2">
        <v>724.66</v>
      </c>
    </row>
    <row r="232" spans="1:68" x14ac:dyDescent="0.25">
      <c r="A232" s="1">
        <v>43553</v>
      </c>
      <c r="B232" s="2">
        <v>2468.1320000000001</v>
      </c>
      <c r="C232" s="1">
        <v>43553</v>
      </c>
      <c r="D232" s="2">
        <v>265.46499999999997</v>
      </c>
      <c r="E232" s="1">
        <v>43553</v>
      </c>
      <c r="F232" s="2">
        <v>217.197</v>
      </c>
      <c r="G232" s="1">
        <v>43553</v>
      </c>
      <c r="H232" s="2">
        <v>249.01580999999999</v>
      </c>
      <c r="I232" s="1">
        <v>43585</v>
      </c>
      <c r="J232" s="2">
        <v>149.48759999999999</v>
      </c>
      <c r="K232" s="1">
        <v>43553</v>
      </c>
      <c r="L232" s="2">
        <v>159.89510000000001</v>
      </c>
      <c r="M232" s="1">
        <v>43553</v>
      </c>
      <c r="N232" s="2">
        <v>166.3133</v>
      </c>
      <c r="O232" s="1">
        <v>43585</v>
      </c>
      <c r="P232" s="2">
        <v>127.21939999999999</v>
      </c>
      <c r="Q232" s="1">
        <v>43553</v>
      </c>
      <c r="R232" s="2">
        <v>168.1028</v>
      </c>
      <c r="S232" s="1">
        <v>43553</v>
      </c>
      <c r="T232" s="2">
        <v>539.26400000000001</v>
      </c>
      <c r="U232" s="1">
        <v>43553</v>
      </c>
      <c r="V232" s="2">
        <v>342.40710000000001</v>
      </c>
      <c r="W232" s="1">
        <v>43553</v>
      </c>
      <c r="X232" s="2">
        <v>2148.8000000000002</v>
      </c>
      <c r="Y232" s="1">
        <v>43553</v>
      </c>
      <c r="Z232" s="2">
        <v>13.896000000000001</v>
      </c>
      <c r="AA232" s="1">
        <v>43921</v>
      </c>
      <c r="AB232" s="2">
        <v>226.2482</v>
      </c>
      <c r="AC232" s="1">
        <v>43553</v>
      </c>
      <c r="AD232" s="2">
        <v>204.82919999999999</v>
      </c>
      <c r="AE232" s="1">
        <v>43921</v>
      </c>
      <c r="AF232" s="2">
        <v>148.45330000000001</v>
      </c>
      <c r="AG232" s="1">
        <v>43921</v>
      </c>
      <c r="AH232" s="2">
        <v>95.970100000000002</v>
      </c>
      <c r="AI232" s="1">
        <v>43921</v>
      </c>
      <c r="AJ232" s="2">
        <v>450.66120000000001</v>
      </c>
      <c r="AK232" s="1">
        <v>43553</v>
      </c>
      <c r="AL232" s="2">
        <v>6087.54</v>
      </c>
      <c r="AM232" s="1">
        <v>43553</v>
      </c>
      <c r="AN232" s="2">
        <v>2246.75</v>
      </c>
      <c r="AO232" s="1">
        <v>43553</v>
      </c>
      <c r="AP232" s="2">
        <v>3622.43</v>
      </c>
      <c r="AQ232" s="1">
        <v>43553</v>
      </c>
      <c r="AR232" s="2">
        <v>2357.94</v>
      </c>
      <c r="AS232" s="1">
        <v>43553</v>
      </c>
      <c r="AT232" s="2">
        <v>8879.81</v>
      </c>
      <c r="AU232" s="1">
        <v>43553</v>
      </c>
      <c r="AV232" s="2">
        <v>5133.2</v>
      </c>
      <c r="AW232" s="1">
        <v>45016</v>
      </c>
      <c r="AX232" s="2">
        <v>6404.01</v>
      </c>
      <c r="AY232" s="2">
        <v>44957</v>
      </c>
      <c r="AZ232" s="2">
        <v>176.98</v>
      </c>
      <c r="BC232" s="1">
        <v>43553</v>
      </c>
      <c r="BD232" s="2">
        <v>1.1299999999999999</v>
      </c>
      <c r="BE232" s="1">
        <v>43553</v>
      </c>
      <c r="BF232" s="2">
        <v>17.042000000000002</v>
      </c>
      <c r="BG232" s="1">
        <v>43553</v>
      </c>
      <c r="BH232" s="2">
        <v>0.879</v>
      </c>
      <c r="BI232" s="1">
        <v>43553</v>
      </c>
      <c r="BJ232" s="2">
        <v>57.963000000000001</v>
      </c>
      <c r="BK232" s="1">
        <v>43553</v>
      </c>
      <c r="BL232" s="2">
        <v>958.56880000000001</v>
      </c>
      <c r="BM232" s="1">
        <v>45077</v>
      </c>
      <c r="BN232" s="2">
        <v>6127.8519999999999</v>
      </c>
      <c r="BO232" s="1">
        <v>45169</v>
      </c>
      <c r="BP232" s="2">
        <v>733.98</v>
      </c>
    </row>
    <row r="233" spans="1:68" x14ac:dyDescent="0.25">
      <c r="A233" s="1">
        <v>43585</v>
      </c>
      <c r="B233" s="2">
        <v>2571.9659999999999</v>
      </c>
      <c r="C233" s="1">
        <v>43585</v>
      </c>
      <c r="D233" s="2">
        <v>266.08069999999998</v>
      </c>
      <c r="E233" s="1">
        <v>43585</v>
      </c>
      <c r="F233" s="2">
        <v>217.58</v>
      </c>
      <c r="G233" s="1">
        <v>43585</v>
      </c>
      <c r="H233" s="2">
        <v>248.93841</v>
      </c>
      <c r="I233" s="1">
        <v>43616</v>
      </c>
      <c r="J233" s="2">
        <v>150.10140000000001</v>
      </c>
      <c r="K233" s="1">
        <v>43585</v>
      </c>
      <c r="L233" s="2">
        <v>161.87540000000001</v>
      </c>
      <c r="M233" s="1">
        <v>43585</v>
      </c>
      <c r="N233" s="2">
        <v>164.49709999999999</v>
      </c>
      <c r="O233" s="1">
        <v>43616</v>
      </c>
      <c r="P233" s="2">
        <v>127.15900000000001</v>
      </c>
      <c r="Q233" s="1">
        <v>43585</v>
      </c>
      <c r="R233" s="2">
        <v>169.07570000000001</v>
      </c>
      <c r="S233" s="1">
        <v>43585</v>
      </c>
      <c r="T233" s="2">
        <v>539.58529999999996</v>
      </c>
      <c r="U233" s="1">
        <v>43585</v>
      </c>
      <c r="V233" s="2">
        <v>341.36200000000002</v>
      </c>
      <c r="W233" s="1">
        <v>43585</v>
      </c>
      <c r="X233" s="2">
        <v>2147.5300000000002</v>
      </c>
      <c r="Y233" s="1">
        <v>43585</v>
      </c>
      <c r="Z233" s="2">
        <v>23.367999999999999</v>
      </c>
      <c r="AA233" s="1">
        <v>43951</v>
      </c>
      <c r="AB233" s="2">
        <v>225.02330000000001</v>
      </c>
      <c r="AC233" s="1">
        <v>43585</v>
      </c>
      <c r="AD233" s="2">
        <v>202.9358</v>
      </c>
      <c r="AE233" s="1">
        <v>43951</v>
      </c>
      <c r="AF233" s="2">
        <v>143.59639999999999</v>
      </c>
      <c r="AG233" s="1">
        <v>43951</v>
      </c>
      <c r="AH233" s="2">
        <v>89.715400000000002</v>
      </c>
      <c r="AI233" s="1">
        <v>43951</v>
      </c>
      <c r="AJ233" s="2">
        <v>479.35160000000002</v>
      </c>
      <c r="AK233" s="1">
        <v>43585</v>
      </c>
      <c r="AL233" s="2">
        <v>6303.4</v>
      </c>
      <c r="AM233" s="1">
        <v>43585</v>
      </c>
      <c r="AN233" s="2">
        <v>2329.94</v>
      </c>
      <c r="AO233" s="1">
        <v>43585</v>
      </c>
      <c r="AP233" s="2">
        <v>3657.45</v>
      </c>
      <c r="AQ233" s="1">
        <v>43585</v>
      </c>
      <c r="AR233" s="2">
        <v>2433.73</v>
      </c>
      <c r="AS233" s="1">
        <v>43585</v>
      </c>
      <c r="AT233" s="2">
        <v>9136.89</v>
      </c>
      <c r="AU233" s="1">
        <v>43585</v>
      </c>
      <c r="AV233" s="2">
        <v>5347.45</v>
      </c>
      <c r="AW233" s="1">
        <v>45044</v>
      </c>
      <c r="AX233" s="2">
        <v>6462.15</v>
      </c>
      <c r="AY233" s="2">
        <v>44985</v>
      </c>
      <c r="AZ233" s="2">
        <v>175.69</v>
      </c>
      <c r="BC233" s="1">
        <v>43585</v>
      </c>
      <c r="BD233" s="2">
        <v>1.04</v>
      </c>
      <c r="BE233" s="1">
        <v>43585</v>
      </c>
      <c r="BF233" s="2">
        <v>22.184000000000001</v>
      </c>
      <c r="BG233" s="2">
        <v>43585</v>
      </c>
      <c r="BH233" s="2">
        <v>7.6509999999999998</v>
      </c>
      <c r="BI233" s="1">
        <v>43585</v>
      </c>
      <c r="BJ233" s="2">
        <v>64.885999999999996</v>
      </c>
      <c r="BK233" s="1">
        <v>43585</v>
      </c>
      <c r="BL233" s="2">
        <v>953.78949999999998</v>
      </c>
      <c r="BM233" s="1">
        <v>45107</v>
      </c>
      <c r="BN233" s="2">
        <v>6499.9430000000002</v>
      </c>
      <c r="BO233" s="1">
        <v>45198</v>
      </c>
      <c r="BP233" s="2">
        <v>726.07</v>
      </c>
    </row>
    <row r="234" spans="1:68" x14ac:dyDescent="0.25">
      <c r="A234" s="1">
        <v>43616</v>
      </c>
      <c r="B234" s="2">
        <v>2508.3249999999998</v>
      </c>
      <c r="C234" s="1">
        <v>43616</v>
      </c>
      <c r="D234" s="2">
        <v>265.03789999999998</v>
      </c>
      <c r="E234" s="1">
        <v>43616</v>
      </c>
      <c r="F234" s="2">
        <v>215.363</v>
      </c>
      <c r="G234" s="1">
        <v>43616</v>
      </c>
      <c r="H234" s="2">
        <v>248.82517000000001</v>
      </c>
      <c r="I234" s="1">
        <v>43644</v>
      </c>
      <c r="J234" s="2">
        <v>150.2998</v>
      </c>
      <c r="K234" s="1">
        <v>43616</v>
      </c>
      <c r="L234" s="2">
        <v>158.22280000000001</v>
      </c>
      <c r="M234" s="1">
        <v>43616</v>
      </c>
      <c r="N234" s="2">
        <v>171.0189</v>
      </c>
      <c r="O234" s="1">
        <v>43644</v>
      </c>
      <c r="P234" s="2">
        <v>126.217</v>
      </c>
      <c r="Q234" s="1">
        <v>43616</v>
      </c>
      <c r="R234" s="2">
        <v>170.31209999999999</v>
      </c>
      <c r="S234" s="1">
        <v>43616</v>
      </c>
      <c r="T234" s="2">
        <v>547.34960000000001</v>
      </c>
      <c r="U234" s="1">
        <v>43616</v>
      </c>
      <c r="V234" s="2">
        <v>344.64280000000002</v>
      </c>
      <c r="W234" s="1">
        <v>43616</v>
      </c>
      <c r="X234" s="2">
        <v>2175.29</v>
      </c>
      <c r="Y234" s="1">
        <v>43616</v>
      </c>
      <c r="Z234" s="2">
        <v>20.018999999999998</v>
      </c>
      <c r="AA234" s="1">
        <v>43980</v>
      </c>
      <c r="AB234" s="2">
        <v>238.1318</v>
      </c>
      <c r="AC234" s="1">
        <v>43616</v>
      </c>
      <c r="AD234" s="2">
        <v>195.77699999999999</v>
      </c>
      <c r="AE234" s="1">
        <v>43980</v>
      </c>
      <c r="AF234" s="2">
        <v>143.58590000000001</v>
      </c>
      <c r="AG234" s="1">
        <v>43980</v>
      </c>
      <c r="AH234" s="2">
        <v>105.85639999999999</v>
      </c>
      <c r="AI234" s="1">
        <v>43980</v>
      </c>
      <c r="AJ234" s="2">
        <v>511.3904</v>
      </c>
      <c r="AK234" s="1">
        <v>43616</v>
      </c>
      <c r="AL234" s="2">
        <v>5939.69</v>
      </c>
      <c r="AM234" s="1">
        <v>43616</v>
      </c>
      <c r="AN234" s="2">
        <v>2184.52</v>
      </c>
      <c r="AO234" s="1">
        <v>43616</v>
      </c>
      <c r="AP234" s="2">
        <v>3622.59</v>
      </c>
      <c r="AQ234" s="1">
        <v>43616</v>
      </c>
      <c r="AR234" s="2">
        <v>2345.46</v>
      </c>
      <c r="AS234" s="1">
        <v>43616</v>
      </c>
      <c r="AT234" s="2">
        <v>8561.89</v>
      </c>
      <c r="AU234" s="1">
        <v>43616</v>
      </c>
      <c r="AV234" s="2">
        <v>5065.63</v>
      </c>
      <c r="AW234" s="1">
        <v>45077</v>
      </c>
      <c r="AX234" s="2">
        <v>6336.96</v>
      </c>
      <c r="AY234" s="2">
        <v>45016</v>
      </c>
      <c r="AZ234" s="2">
        <v>165.36</v>
      </c>
      <c r="BC234" s="1">
        <v>43616</v>
      </c>
      <c r="BD234" s="2">
        <v>1.2</v>
      </c>
      <c r="BE234" s="1">
        <v>43616</v>
      </c>
      <c r="BF234" s="2">
        <v>21.204999999999998</v>
      </c>
      <c r="BG234" s="2">
        <v>43616</v>
      </c>
      <c r="BH234" s="2">
        <v>-21.867000000000001</v>
      </c>
      <c r="BI234" s="1">
        <v>43616</v>
      </c>
      <c r="BJ234" s="2">
        <v>65.427000000000007</v>
      </c>
      <c r="BK234" s="1">
        <v>43616</v>
      </c>
      <c r="BL234" s="2">
        <v>970.17499999999995</v>
      </c>
      <c r="BM234" s="1">
        <v>45138</v>
      </c>
      <c r="BN234" s="2">
        <v>6689.7560000000003</v>
      </c>
      <c r="BO234" s="1">
        <v>45230</v>
      </c>
      <c r="BP234" s="2">
        <v>727.85</v>
      </c>
    </row>
    <row r="235" spans="1:68" x14ac:dyDescent="0.25">
      <c r="A235" s="1">
        <v>43644</v>
      </c>
      <c r="B235" s="2">
        <v>2577.1849999999999</v>
      </c>
      <c r="C235" s="1">
        <v>43644</v>
      </c>
      <c r="D235" s="2">
        <v>264.20519999999999</v>
      </c>
      <c r="E235" s="1">
        <v>43644</v>
      </c>
      <c r="F235" s="2">
        <v>215.637</v>
      </c>
      <c r="G235" s="1">
        <v>43644</v>
      </c>
      <c r="H235" s="2">
        <v>255.00702000000001</v>
      </c>
      <c r="I235" s="1">
        <v>43677</v>
      </c>
      <c r="J235" s="2">
        <v>150.87219999999999</v>
      </c>
      <c r="K235" s="1">
        <v>43644</v>
      </c>
      <c r="L235" s="2">
        <v>159.39769999999999</v>
      </c>
      <c r="M235" s="1">
        <v>43644</v>
      </c>
      <c r="N235" s="2">
        <v>175.97980000000001</v>
      </c>
      <c r="O235" s="1">
        <v>43677</v>
      </c>
      <c r="P235" s="2">
        <v>125.7486</v>
      </c>
      <c r="Q235" s="1">
        <v>43644</v>
      </c>
      <c r="R235" s="2">
        <v>168.34190000000001</v>
      </c>
      <c r="S235" s="1">
        <v>43644</v>
      </c>
      <c r="T235" s="2">
        <v>555.02449999999999</v>
      </c>
      <c r="U235" s="1">
        <v>43644</v>
      </c>
      <c r="V235" s="2">
        <v>349.9898</v>
      </c>
      <c r="W235" s="1">
        <v>43644</v>
      </c>
      <c r="X235" s="2">
        <v>2190.94</v>
      </c>
      <c r="Y235" s="1">
        <v>43644</v>
      </c>
      <c r="Z235" s="2">
        <v>24.82</v>
      </c>
      <c r="AA235" s="1">
        <v>44012</v>
      </c>
      <c r="AB235" s="2">
        <v>246.44880000000001</v>
      </c>
      <c r="AC235" s="1">
        <v>43644</v>
      </c>
      <c r="AD235" s="2">
        <v>200.09739999999999</v>
      </c>
      <c r="AE235" s="1">
        <v>44012</v>
      </c>
      <c r="AF235" s="2">
        <v>144.46510000000001</v>
      </c>
      <c r="AG235" s="1">
        <v>44012</v>
      </c>
      <c r="AH235" s="2">
        <v>112.4736</v>
      </c>
      <c r="AI235" s="1">
        <v>44012</v>
      </c>
      <c r="AJ235" s="2">
        <v>524.09799999999996</v>
      </c>
      <c r="AK235" s="1">
        <v>43644</v>
      </c>
      <c r="AL235" s="2">
        <v>6331.08</v>
      </c>
      <c r="AM235" s="1">
        <v>43644</v>
      </c>
      <c r="AN235" s="2">
        <v>2335.5</v>
      </c>
      <c r="AO235" s="1">
        <v>43644</v>
      </c>
      <c r="AP235" s="2">
        <v>3794.91</v>
      </c>
      <c r="AQ235" s="1">
        <v>43644</v>
      </c>
      <c r="AR235" s="2">
        <v>2493.8000000000002</v>
      </c>
      <c r="AS235" s="1">
        <v>43644</v>
      </c>
      <c r="AT235" s="2">
        <v>9097.9699999999993</v>
      </c>
      <c r="AU235" s="1">
        <v>43644</v>
      </c>
      <c r="AV235" s="2">
        <v>5415.49</v>
      </c>
      <c r="AW235" s="1">
        <v>45107</v>
      </c>
      <c r="AX235" s="2">
        <v>6462.56</v>
      </c>
      <c r="AY235" s="2">
        <v>45044</v>
      </c>
      <c r="AZ235" s="2">
        <v>168.56</v>
      </c>
      <c r="BC235" s="1">
        <v>43644</v>
      </c>
      <c r="BD235" s="2">
        <v>1.0900000000000001</v>
      </c>
      <c r="BE235" s="1">
        <v>43644</v>
      </c>
      <c r="BF235" s="2">
        <v>23.707000000000001</v>
      </c>
      <c r="BG235" s="2">
        <v>43644</v>
      </c>
      <c r="BH235" s="2">
        <v>-9.4570000000000007</v>
      </c>
      <c r="BI235" s="1">
        <v>43644</v>
      </c>
      <c r="BJ235" s="2">
        <v>76.11</v>
      </c>
      <c r="BK235" s="1">
        <v>43644</v>
      </c>
      <c r="BL235" s="2">
        <v>992.78970000000004</v>
      </c>
      <c r="BM235" s="1">
        <v>45169</v>
      </c>
      <c r="BN235" s="2">
        <v>6552.7979999999998</v>
      </c>
      <c r="BO235" s="1">
        <v>45260</v>
      </c>
      <c r="BP235" s="2">
        <v>771.52</v>
      </c>
    </row>
    <row r="236" spans="1:68" x14ac:dyDescent="0.25">
      <c r="A236" s="1">
        <v>43677</v>
      </c>
      <c r="B236" s="2">
        <v>2701.5250000000001</v>
      </c>
      <c r="C236" s="1">
        <v>43677</v>
      </c>
      <c r="D236" s="2">
        <v>270.07159999999999</v>
      </c>
      <c r="E236" s="1">
        <v>43677</v>
      </c>
      <c r="F236" s="2">
        <v>218.50899999999999</v>
      </c>
      <c r="G236" s="1">
        <v>43677</v>
      </c>
      <c r="H236" s="2">
        <v>256.62972000000002</v>
      </c>
      <c r="I236" s="1">
        <v>43707</v>
      </c>
      <c r="J236" s="2">
        <v>153.14150000000001</v>
      </c>
      <c r="K236" s="1">
        <v>43677</v>
      </c>
      <c r="L236" s="2">
        <v>159.21180000000001</v>
      </c>
      <c r="M236" s="1">
        <v>43677</v>
      </c>
      <c r="N236" s="2">
        <v>177.76689999999999</v>
      </c>
      <c r="O236" s="1">
        <v>43707</v>
      </c>
      <c r="P236" s="2">
        <v>128.2473</v>
      </c>
      <c r="Q236" s="1">
        <v>43677</v>
      </c>
      <c r="R236" s="2">
        <v>170.5437</v>
      </c>
      <c r="S236" s="1">
        <v>43677</v>
      </c>
      <c r="T236" s="2">
        <v>559.39179999999999</v>
      </c>
      <c r="U236" s="1">
        <v>43677</v>
      </c>
      <c r="V236" s="2">
        <v>350.49079999999998</v>
      </c>
      <c r="W236" s="1">
        <v>43677</v>
      </c>
      <c r="X236" s="2">
        <v>2199.79</v>
      </c>
      <c r="Y236" s="1">
        <v>43677</v>
      </c>
      <c r="Z236" s="2">
        <v>14.03</v>
      </c>
      <c r="AA236" s="1">
        <v>44043</v>
      </c>
      <c r="AB236" s="2">
        <v>263.32279999999997</v>
      </c>
      <c r="AC236" s="1">
        <v>43677</v>
      </c>
      <c r="AD236" s="2">
        <v>198.32079999999999</v>
      </c>
      <c r="AE236" s="1">
        <v>44043</v>
      </c>
      <c r="AF236" s="2">
        <v>149.50630000000001</v>
      </c>
      <c r="AG236" s="1">
        <v>44043</v>
      </c>
      <c r="AH236" s="2">
        <v>116.70099999999999</v>
      </c>
      <c r="AI236" s="1">
        <v>44043</v>
      </c>
      <c r="AJ236" s="2">
        <v>593.11599999999999</v>
      </c>
      <c r="AK236" s="1">
        <v>43677</v>
      </c>
      <c r="AL236" s="2">
        <v>6362.44</v>
      </c>
      <c r="AM236" s="1">
        <v>43677</v>
      </c>
      <c r="AN236" s="2">
        <v>2373.9899999999998</v>
      </c>
      <c r="AO236" s="1">
        <v>43677</v>
      </c>
      <c r="AP236" s="2">
        <v>3812.29</v>
      </c>
      <c r="AQ236" s="1">
        <v>43677</v>
      </c>
      <c r="AR236" s="2">
        <v>2518.91</v>
      </c>
      <c r="AS236" s="1">
        <v>43677</v>
      </c>
      <c r="AT236" s="2">
        <v>9082.5300000000007</v>
      </c>
      <c r="AU236" s="1">
        <v>43677</v>
      </c>
      <c r="AV236" s="2">
        <v>5476.87</v>
      </c>
      <c r="AW236" s="1">
        <v>45138</v>
      </c>
      <c r="AX236" s="2">
        <v>6630.01</v>
      </c>
      <c r="AY236" s="2">
        <v>45077</v>
      </c>
      <c r="AZ236" s="2">
        <v>165.59</v>
      </c>
      <c r="BC236" s="1">
        <v>43677</v>
      </c>
      <c r="BD236" s="2">
        <v>1.03</v>
      </c>
      <c r="BE236" s="1">
        <v>43677</v>
      </c>
      <c r="BF236" s="2">
        <v>18.553000000000001</v>
      </c>
      <c r="BG236" s="2">
        <v>43677</v>
      </c>
      <c r="BH236" s="2">
        <v>-5.4950000000000001</v>
      </c>
      <c r="BI236" s="1">
        <v>43677</v>
      </c>
      <c r="BJ236" s="2">
        <v>69.603999999999999</v>
      </c>
      <c r="BK236" s="1">
        <v>43677</v>
      </c>
      <c r="BL236" s="2">
        <v>988.11509999999998</v>
      </c>
      <c r="BM236" s="1">
        <v>45198</v>
      </c>
      <c r="BN236" s="2">
        <v>6181.6890000000003</v>
      </c>
      <c r="BO236" s="1">
        <v>45289</v>
      </c>
      <c r="BP236" s="2">
        <v>790.87</v>
      </c>
    </row>
    <row r="237" spans="1:68" x14ac:dyDescent="0.25">
      <c r="A237" s="1">
        <v>43707</v>
      </c>
      <c r="B237" s="2">
        <v>2877.6060000000002</v>
      </c>
      <c r="C237" s="1">
        <v>43707</v>
      </c>
      <c r="D237" s="2">
        <v>266.46179999999998</v>
      </c>
      <c r="E237" s="1">
        <v>43707</v>
      </c>
      <c r="F237" s="2">
        <v>217.13499999999999</v>
      </c>
      <c r="G237" s="1">
        <v>43707</v>
      </c>
      <c r="H237" s="2">
        <v>245.66212999999999</v>
      </c>
      <c r="I237" s="1">
        <v>43738</v>
      </c>
      <c r="J237" s="2">
        <v>151.60400000000001</v>
      </c>
      <c r="K237" s="1">
        <v>43707</v>
      </c>
      <c r="L237" s="2">
        <v>157.89850000000001</v>
      </c>
      <c r="M237" s="1">
        <v>43707</v>
      </c>
      <c r="N237" s="2">
        <v>187.31180000000001</v>
      </c>
      <c r="O237" s="1">
        <v>43738</v>
      </c>
      <c r="P237" s="2">
        <v>126.3194</v>
      </c>
      <c r="Q237" s="1">
        <v>43707</v>
      </c>
      <c r="R237" s="2">
        <v>170.63499999999999</v>
      </c>
      <c r="S237" s="1">
        <v>43707</v>
      </c>
      <c r="T237" s="2">
        <v>572.0779</v>
      </c>
      <c r="U237" s="1">
        <v>43707</v>
      </c>
      <c r="V237" s="2">
        <v>358.5994</v>
      </c>
      <c r="W237" s="1">
        <v>43707</v>
      </c>
      <c r="X237" s="2">
        <v>2219.44</v>
      </c>
      <c r="Y237" s="1">
        <v>43707</v>
      </c>
      <c r="Z237" s="2">
        <v>-1.391</v>
      </c>
      <c r="AA237" s="1">
        <v>44074</v>
      </c>
      <c r="AB237" s="2">
        <v>275.66919999999999</v>
      </c>
      <c r="AC237" s="1">
        <v>43707</v>
      </c>
      <c r="AD237" s="2">
        <v>192.8159</v>
      </c>
      <c r="AE237" s="1">
        <v>44074</v>
      </c>
      <c r="AF237" s="2">
        <v>155.42310000000001</v>
      </c>
      <c r="AG237" s="1">
        <v>44074</v>
      </c>
      <c r="AH237" s="2">
        <v>123.6058</v>
      </c>
      <c r="AI237" s="1">
        <v>44074</v>
      </c>
      <c r="AJ237" s="2">
        <v>612.88499999999999</v>
      </c>
      <c r="AK237" s="1">
        <v>43707</v>
      </c>
      <c r="AL237" s="2">
        <v>6232.3</v>
      </c>
      <c r="AM237" s="1">
        <v>43707</v>
      </c>
      <c r="AN237" s="2">
        <v>2337.3200000000002</v>
      </c>
      <c r="AO237" s="1">
        <v>43707</v>
      </c>
      <c r="AP237" s="2">
        <v>3877.37</v>
      </c>
      <c r="AQ237" s="1">
        <v>43707</v>
      </c>
      <c r="AR237" s="2">
        <v>2520.59</v>
      </c>
      <c r="AS237" s="1">
        <v>43707</v>
      </c>
      <c r="AT237" s="2">
        <v>8797.67</v>
      </c>
      <c r="AU237" s="1">
        <v>43707</v>
      </c>
      <c r="AV237" s="2">
        <v>5421.55</v>
      </c>
      <c r="AW237" s="1">
        <v>45169</v>
      </c>
      <c r="AX237" s="2">
        <v>6541.58</v>
      </c>
      <c r="AY237" s="2">
        <v>45107</v>
      </c>
      <c r="AZ237" s="2">
        <v>174.93</v>
      </c>
      <c r="BC237" s="1">
        <v>43707</v>
      </c>
      <c r="BD237" s="2">
        <v>1.1399999999999999</v>
      </c>
      <c r="BE237" s="1">
        <v>43707</v>
      </c>
      <c r="BF237" s="2">
        <v>10.791</v>
      </c>
      <c r="BG237" s="2">
        <v>43707</v>
      </c>
      <c r="BH237" s="2">
        <v>-49.326999999999998</v>
      </c>
      <c r="BI237" s="1">
        <v>43707</v>
      </c>
      <c r="BJ237" s="2">
        <v>57.445</v>
      </c>
      <c r="BK237" s="1">
        <v>43707</v>
      </c>
      <c r="BL237" s="2">
        <v>1014.4288</v>
      </c>
      <c r="BM237" s="1">
        <v>45230</v>
      </c>
      <c r="BN237" s="2">
        <v>6032.116</v>
      </c>
      <c r="BO237" s="1">
        <v>45322</v>
      </c>
      <c r="BP237" s="2">
        <v>729.7</v>
      </c>
    </row>
    <row r="238" spans="1:68" x14ac:dyDescent="0.25">
      <c r="A238" s="1">
        <v>43738</v>
      </c>
      <c r="B238" s="2">
        <v>2726.1010000000001</v>
      </c>
      <c r="C238" s="1">
        <v>43738</v>
      </c>
      <c r="D238" s="2">
        <v>270.76479999999998</v>
      </c>
      <c r="E238" s="1">
        <v>43738</v>
      </c>
      <c r="F238" s="2">
        <v>219.29499999999999</v>
      </c>
      <c r="G238" s="1">
        <v>43738</v>
      </c>
      <c r="H238" s="2">
        <v>247.37773999999999</v>
      </c>
      <c r="I238" s="1">
        <v>43769</v>
      </c>
      <c r="J238" s="2">
        <v>150.5719</v>
      </c>
      <c r="K238" s="1">
        <v>43738</v>
      </c>
      <c r="L238" s="2">
        <v>157.89060000000001</v>
      </c>
      <c r="M238" s="1">
        <v>43738</v>
      </c>
      <c r="N238" s="2">
        <v>182.25049999999999</v>
      </c>
      <c r="O238" s="1">
        <v>43769</v>
      </c>
      <c r="P238" s="2">
        <v>126.039</v>
      </c>
      <c r="Q238" s="1">
        <v>43738</v>
      </c>
      <c r="R238" s="2">
        <v>170.767</v>
      </c>
      <c r="S238" s="1">
        <v>43738</v>
      </c>
      <c r="T238" s="2">
        <v>569.42700000000002</v>
      </c>
      <c r="U238" s="1">
        <v>43738</v>
      </c>
      <c r="V238" s="2">
        <v>356.0505</v>
      </c>
      <c r="W238" s="1">
        <v>43738</v>
      </c>
      <c r="X238" s="2">
        <v>2221</v>
      </c>
      <c r="Y238" s="1">
        <v>43738</v>
      </c>
      <c r="Z238" s="2">
        <v>3.8839999999999999</v>
      </c>
      <c r="AA238" s="1">
        <v>44104</v>
      </c>
      <c r="AB238" s="2">
        <v>266.52519999999998</v>
      </c>
      <c r="AC238" s="1">
        <v>43738</v>
      </c>
      <c r="AD238" s="2">
        <v>194.3904</v>
      </c>
      <c r="AE238" s="1">
        <v>44104</v>
      </c>
      <c r="AF238" s="2">
        <v>160.71680000000001</v>
      </c>
      <c r="AG238" s="1">
        <v>44104</v>
      </c>
      <c r="AH238" s="2">
        <v>115.6824</v>
      </c>
      <c r="AI238" s="1">
        <v>44104</v>
      </c>
      <c r="AJ238" s="2">
        <v>566.00049999999999</v>
      </c>
      <c r="AK238" s="1">
        <v>43738</v>
      </c>
      <c r="AL238" s="2">
        <v>6364.93</v>
      </c>
      <c r="AM238" s="1">
        <v>43738</v>
      </c>
      <c r="AN238" s="2">
        <v>2371.96</v>
      </c>
      <c r="AO238" s="1">
        <v>43738</v>
      </c>
      <c r="AP238" s="2">
        <v>3916.04</v>
      </c>
      <c r="AQ238" s="1">
        <v>43738</v>
      </c>
      <c r="AR238" s="2">
        <v>2500.1799999999998</v>
      </c>
      <c r="AS238" s="1">
        <v>43738</v>
      </c>
      <c r="AT238" s="2">
        <v>9143.9599999999991</v>
      </c>
      <c r="AU238" s="1">
        <v>43738</v>
      </c>
      <c r="AV238" s="2">
        <v>5446.04</v>
      </c>
      <c r="AW238" s="1">
        <v>45198</v>
      </c>
      <c r="AX238" s="2">
        <v>6267.71</v>
      </c>
      <c r="AY238" s="2">
        <v>45138</v>
      </c>
      <c r="AZ238" s="2">
        <v>185.6</v>
      </c>
      <c r="BC238" s="1">
        <v>43738</v>
      </c>
      <c r="BD238" s="2">
        <v>1.0900000000000001</v>
      </c>
      <c r="BE238" s="1">
        <v>43738</v>
      </c>
      <c r="BF238" s="2">
        <v>11.89</v>
      </c>
      <c r="BG238" s="2">
        <v>43738</v>
      </c>
      <c r="BH238" s="2">
        <v>-16.053000000000001</v>
      </c>
      <c r="BI238" s="1">
        <v>43738</v>
      </c>
      <c r="BJ238" s="2">
        <v>56.555</v>
      </c>
      <c r="BK238" s="1">
        <v>43738</v>
      </c>
      <c r="BL238" s="2">
        <v>1001.224</v>
      </c>
      <c r="BM238" s="1">
        <v>45260</v>
      </c>
      <c r="BN238" s="2">
        <v>6708.37</v>
      </c>
      <c r="BO238" s="1">
        <v>45351</v>
      </c>
      <c r="BP238" s="2">
        <v>745.39</v>
      </c>
    </row>
    <row r="239" spans="1:68" x14ac:dyDescent="0.25">
      <c r="A239" s="1">
        <v>43769</v>
      </c>
      <c r="B239" s="2">
        <v>2613.0509999999999</v>
      </c>
      <c r="C239" s="1">
        <v>43769</v>
      </c>
      <c r="D239" s="2">
        <v>267.56200000000001</v>
      </c>
      <c r="E239" s="1">
        <v>43769</v>
      </c>
      <c r="F239" s="2">
        <v>215.328</v>
      </c>
      <c r="G239" s="1">
        <v>43769</v>
      </c>
      <c r="H239" s="2">
        <v>252.81254999999999</v>
      </c>
      <c r="I239" s="1">
        <v>43798</v>
      </c>
      <c r="J239" s="2">
        <v>150.68809999999999</v>
      </c>
      <c r="K239" s="1">
        <v>43769</v>
      </c>
      <c r="L239" s="2">
        <v>158.1943</v>
      </c>
      <c r="M239" s="1">
        <v>43769</v>
      </c>
      <c r="N239" s="2">
        <v>179.36259999999999</v>
      </c>
      <c r="O239" s="1">
        <v>43798</v>
      </c>
      <c r="P239" s="2">
        <v>125.5201</v>
      </c>
      <c r="Q239" s="1">
        <v>43769</v>
      </c>
      <c r="R239" s="2">
        <v>168.3947</v>
      </c>
      <c r="S239" s="1">
        <v>43769</v>
      </c>
      <c r="T239" s="2">
        <v>568.44399999999996</v>
      </c>
      <c r="U239" s="1">
        <v>43769</v>
      </c>
      <c r="V239" s="2">
        <v>356.89780000000002</v>
      </c>
      <c r="W239" s="1">
        <v>43769</v>
      </c>
      <c r="X239" s="2">
        <v>2228.84</v>
      </c>
      <c r="Y239" s="1">
        <v>43769</v>
      </c>
      <c r="Z239" s="2">
        <v>16.308</v>
      </c>
      <c r="AA239" s="1">
        <v>44134</v>
      </c>
      <c r="AB239" s="2">
        <v>264.71730000000002</v>
      </c>
      <c r="AC239" s="1">
        <v>43769</v>
      </c>
      <c r="AD239" s="2">
        <v>197.9759</v>
      </c>
      <c r="AE239" s="1">
        <v>44134</v>
      </c>
      <c r="AF239" s="2">
        <v>163.3819</v>
      </c>
      <c r="AG239" s="1">
        <v>44134</v>
      </c>
      <c r="AH239" s="2">
        <v>107.6266</v>
      </c>
      <c r="AI239" s="1">
        <v>44134</v>
      </c>
      <c r="AJ239" s="2">
        <v>563.38400000000001</v>
      </c>
      <c r="AK239" s="1">
        <v>43769</v>
      </c>
      <c r="AL239" s="2">
        <v>6526.9</v>
      </c>
      <c r="AM239" s="1">
        <v>43769</v>
      </c>
      <c r="AN239" s="2">
        <v>2454.48</v>
      </c>
      <c r="AO239" s="1">
        <v>43769</v>
      </c>
      <c r="AP239" s="2">
        <v>3949.63</v>
      </c>
      <c r="AQ239" s="1">
        <v>43769</v>
      </c>
      <c r="AR239" s="2">
        <v>2531.13</v>
      </c>
      <c r="AS239" s="1">
        <v>43769</v>
      </c>
      <c r="AT239" s="2">
        <v>9332.76</v>
      </c>
      <c r="AU239" s="1">
        <v>43769</v>
      </c>
      <c r="AV239" s="2">
        <v>5609.62</v>
      </c>
      <c r="AW239" s="1">
        <v>45230</v>
      </c>
      <c r="AX239" s="2">
        <v>6139.82</v>
      </c>
      <c r="AY239" s="2">
        <v>45169</v>
      </c>
      <c r="AZ239" s="2">
        <v>183.97</v>
      </c>
      <c r="BC239" s="1">
        <v>43769</v>
      </c>
      <c r="BD239" s="2">
        <v>1.05</v>
      </c>
      <c r="BE239" s="1">
        <v>43769</v>
      </c>
      <c r="BF239" s="2">
        <v>16.98</v>
      </c>
      <c r="BG239" s="2">
        <v>43769</v>
      </c>
      <c r="BH239" s="2">
        <v>14.398999999999999</v>
      </c>
      <c r="BI239" s="1">
        <v>43769</v>
      </c>
      <c r="BJ239" s="2">
        <v>65.951999999999998</v>
      </c>
      <c r="BK239" s="1">
        <v>43769</v>
      </c>
      <c r="BL239" s="2">
        <v>1006.587</v>
      </c>
      <c r="BM239" s="1">
        <v>45289</v>
      </c>
      <c r="BN239" s="2">
        <v>7010.4549999999999</v>
      </c>
      <c r="BO239" s="1">
        <v>45380</v>
      </c>
      <c r="BP239" s="2">
        <v>750.15</v>
      </c>
    </row>
    <row r="240" spans="1:68" x14ac:dyDescent="0.25">
      <c r="A240" s="1">
        <v>43798</v>
      </c>
      <c r="B240" s="2">
        <v>2634.7440000000001</v>
      </c>
      <c r="C240" s="1">
        <v>43798</v>
      </c>
      <c r="D240" s="2">
        <v>270.57429999999999</v>
      </c>
      <c r="E240" s="1">
        <v>43798</v>
      </c>
      <c r="F240" s="2">
        <v>217.542</v>
      </c>
      <c r="G240" s="1">
        <v>43798</v>
      </c>
      <c r="H240" s="2">
        <v>250.10763</v>
      </c>
      <c r="I240" s="1">
        <v>43830</v>
      </c>
      <c r="J240" s="2">
        <v>150.7073</v>
      </c>
      <c r="K240" s="1">
        <v>43798</v>
      </c>
      <c r="L240" s="2">
        <v>159.9221</v>
      </c>
      <c r="M240" s="1">
        <v>43798</v>
      </c>
      <c r="N240" s="2">
        <v>178.56880000000001</v>
      </c>
      <c r="O240" s="1">
        <v>43830</v>
      </c>
      <c r="P240" s="2">
        <v>125.8061</v>
      </c>
      <c r="Q240" s="1">
        <v>43798</v>
      </c>
      <c r="R240" s="2">
        <v>168.78960000000001</v>
      </c>
      <c r="S240" s="1">
        <v>43798</v>
      </c>
      <c r="T240" s="2">
        <v>567.77719999999999</v>
      </c>
      <c r="U240" s="1">
        <v>43798</v>
      </c>
      <c r="V240" s="2">
        <v>353.59809999999999</v>
      </c>
      <c r="W240" s="1">
        <v>43798</v>
      </c>
      <c r="X240" s="2">
        <v>2230.64</v>
      </c>
      <c r="Y240" s="1">
        <v>43798</v>
      </c>
      <c r="Z240" s="2">
        <v>15.988</v>
      </c>
      <c r="AA240" s="1">
        <v>44165</v>
      </c>
      <c r="AB240" s="2">
        <v>280.07240000000002</v>
      </c>
      <c r="AC240" s="1">
        <v>43798</v>
      </c>
      <c r="AD240" s="2">
        <v>192.98500000000001</v>
      </c>
      <c r="AE240" s="1">
        <v>44165</v>
      </c>
      <c r="AF240" s="2">
        <v>173.40459999999999</v>
      </c>
      <c r="AG240" s="1">
        <v>44165</v>
      </c>
      <c r="AH240" s="2">
        <v>123.18089999999999</v>
      </c>
      <c r="AI240" s="1">
        <v>44165</v>
      </c>
      <c r="AJ240" s="2">
        <v>532.1164</v>
      </c>
      <c r="AK240" s="1">
        <v>43798</v>
      </c>
      <c r="AL240" s="2">
        <v>6708.68</v>
      </c>
      <c r="AM240" s="1">
        <v>43798</v>
      </c>
      <c r="AN240" s="2">
        <v>2549.8200000000002</v>
      </c>
      <c r="AO240" s="1">
        <v>43798</v>
      </c>
      <c r="AP240" s="2">
        <v>3971.61</v>
      </c>
      <c r="AQ240" s="1">
        <v>43798</v>
      </c>
      <c r="AR240" s="2">
        <v>2597.02</v>
      </c>
      <c r="AS240" s="1">
        <v>43798</v>
      </c>
      <c r="AT240" s="2">
        <v>9522.66</v>
      </c>
      <c r="AU240" s="1">
        <v>43798</v>
      </c>
      <c r="AV240" s="2">
        <v>5806.02</v>
      </c>
      <c r="AW240" s="1">
        <v>45260</v>
      </c>
      <c r="AX240" s="2">
        <v>6569.66</v>
      </c>
      <c r="AY240" s="2">
        <v>45198</v>
      </c>
      <c r="AZ240" s="2">
        <v>181.26</v>
      </c>
      <c r="BC240" s="1">
        <v>43798</v>
      </c>
      <c r="BD240" s="2">
        <v>1</v>
      </c>
      <c r="BE240" s="1">
        <v>43798</v>
      </c>
      <c r="BF240" s="2">
        <v>14.823</v>
      </c>
      <c r="BG240" s="2">
        <v>43798</v>
      </c>
      <c r="BH240" s="2">
        <v>19.321000000000002</v>
      </c>
      <c r="BI240" s="1">
        <v>43798</v>
      </c>
      <c r="BJ240" s="2">
        <v>57.786999999999999</v>
      </c>
      <c r="BK240" s="1">
        <v>43798</v>
      </c>
      <c r="BL240" s="2">
        <v>994.94</v>
      </c>
      <c r="BM240" s="1">
        <v>45322</v>
      </c>
      <c r="BN240" s="2">
        <v>7158.98</v>
      </c>
      <c r="BO240" s="1">
        <v>45412</v>
      </c>
      <c r="BP240" s="2">
        <v>735.67</v>
      </c>
    </row>
    <row r="241" spans="1:68" x14ac:dyDescent="0.25">
      <c r="A241" s="1">
        <v>43830</v>
      </c>
      <c r="B241" s="2">
        <v>2620.1790000000001</v>
      </c>
      <c r="C241" s="1">
        <v>43830</v>
      </c>
      <c r="D241" s="2">
        <v>272.86720000000003</v>
      </c>
      <c r="E241" s="1">
        <v>43830</v>
      </c>
      <c r="F241" s="2">
        <v>218.054</v>
      </c>
      <c r="G241" s="1">
        <v>43830</v>
      </c>
      <c r="H241" s="2">
        <v>256.90661999999998</v>
      </c>
      <c r="I241" s="1">
        <v>43861</v>
      </c>
      <c r="J241" s="2">
        <v>150.30090000000001</v>
      </c>
      <c r="K241" s="1">
        <v>43830</v>
      </c>
      <c r="L241" s="2">
        <v>161.0556</v>
      </c>
      <c r="M241" s="1">
        <v>43830</v>
      </c>
      <c r="N241" s="2">
        <v>177.4359</v>
      </c>
      <c r="O241" s="1">
        <v>43861</v>
      </c>
      <c r="P241" s="2">
        <v>125.70350000000001</v>
      </c>
      <c r="Q241" s="1">
        <v>43830</v>
      </c>
      <c r="R241" s="2">
        <v>168.01939999999999</v>
      </c>
      <c r="S241" s="1">
        <v>43830</v>
      </c>
      <c r="T241" s="2">
        <v>566.61310000000003</v>
      </c>
      <c r="U241" s="1">
        <v>43830</v>
      </c>
      <c r="V241" s="2">
        <v>356.05930000000001</v>
      </c>
      <c r="W241" s="1">
        <v>43830</v>
      </c>
      <c r="X241" s="2">
        <v>2236.8200000000002</v>
      </c>
      <c r="Y241" s="1">
        <v>43830</v>
      </c>
      <c r="Z241" s="2">
        <v>34.442</v>
      </c>
      <c r="AA241" s="1">
        <v>44196</v>
      </c>
      <c r="AB241" s="2">
        <v>295.92919999999998</v>
      </c>
      <c r="AC241" s="1">
        <v>43830</v>
      </c>
      <c r="AD241" s="2">
        <v>202.47020000000001</v>
      </c>
      <c r="AE241" s="1">
        <v>44196</v>
      </c>
      <c r="AF241" s="2">
        <v>186.4744</v>
      </c>
      <c r="AG241" s="1">
        <v>44196</v>
      </c>
      <c r="AH241" s="2">
        <v>129.1755</v>
      </c>
      <c r="AI241" s="1">
        <v>44196</v>
      </c>
      <c r="AJ241" s="2">
        <v>579.07150000000001</v>
      </c>
      <c r="AK241" s="1">
        <v>43830</v>
      </c>
      <c r="AL241" s="2">
        <v>6909.66</v>
      </c>
      <c r="AM241" s="1">
        <v>43830</v>
      </c>
      <c r="AN241" s="2">
        <v>2642.41</v>
      </c>
      <c r="AO241" s="1">
        <v>43830</v>
      </c>
      <c r="AP241" s="2">
        <v>4034.46</v>
      </c>
      <c r="AQ241" s="1">
        <v>43830</v>
      </c>
      <c r="AR241" s="2">
        <v>2660.95</v>
      </c>
      <c r="AS241" s="1">
        <v>43830</v>
      </c>
      <c r="AT241" s="2">
        <v>9812.39</v>
      </c>
      <c r="AU241" s="1">
        <v>43830</v>
      </c>
      <c r="AV241" s="2">
        <v>5977.25</v>
      </c>
      <c r="AW241" s="1">
        <v>45289</v>
      </c>
      <c r="AX241" s="2">
        <v>6856.09</v>
      </c>
      <c r="AY241" s="2">
        <v>45230</v>
      </c>
      <c r="AZ241" s="2">
        <v>168.28</v>
      </c>
      <c r="BC241" s="1">
        <v>43830</v>
      </c>
      <c r="BD241" s="2">
        <v>0.9</v>
      </c>
      <c r="BE241" s="1">
        <v>43830</v>
      </c>
      <c r="BF241" s="2">
        <v>22.481000000000002</v>
      </c>
      <c r="BG241" s="2">
        <v>43830</v>
      </c>
      <c r="BH241" s="2">
        <v>36.362000000000002</v>
      </c>
      <c r="BI241" s="1">
        <v>43830</v>
      </c>
      <c r="BJ241" s="2">
        <v>69.77</v>
      </c>
      <c r="BK241" s="1">
        <v>43830</v>
      </c>
      <c r="BL241" s="2">
        <v>997.70579999999995</v>
      </c>
      <c r="BM241" s="1">
        <v>45351</v>
      </c>
      <c r="BN241" s="2">
        <v>7587.6469999999999</v>
      </c>
      <c r="BO241" s="1">
        <v>45443</v>
      </c>
      <c r="BP241" s="2">
        <v>761.9</v>
      </c>
    </row>
    <row r="242" spans="1:68" x14ac:dyDescent="0.25">
      <c r="A242" s="1">
        <v>43861</v>
      </c>
      <c r="B242" s="2">
        <v>2643.4720000000002</v>
      </c>
      <c r="C242" s="1">
        <v>43861</v>
      </c>
      <c r="D242" s="2">
        <v>270.03609999999998</v>
      </c>
      <c r="E242" s="1">
        <v>43861</v>
      </c>
      <c r="F242" s="2">
        <v>215.227</v>
      </c>
      <c r="G242" s="1">
        <v>43861</v>
      </c>
      <c r="H242" s="2">
        <v>251.72257999999999</v>
      </c>
      <c r="I242" s="1">
        <v>43889</v>
      </c>
      <c r="J242" s="2">
        <v>150.53360000000001</v>
      </c>
      <c r="K242" s="1">
        <v>43861</v>
      </c>
      <c r="L242" s="2">
        <v>159.4605</v>
      </c>
      <c r="M242" s="1">
        <v>43861</v>
      </c>
      <c r="N242" s="2">
        <v>178.4939</v>
      </c>
      <c r="O242" s="1">
        <v>43889</v>
      </c>
      <c r="P242" s="2">
        <v>126.9558</v>
      </c>
      <c r="Q242" s="1">
        <v>43861</v>
      </c>
      <c r="R242" s="2">
        <v>167.30279999999999</v>
      </c>
      <c r="S242" s="1">
        <v>43861</v>
      </c>
      <c r="T242" s="2">
        <v>576.83839999999998</v>
      </c>
      <c r="U242" s="1">
        <v>43861</v>
      </c>
      <c r="V242" s="2">
        <v>363.90269999999998</v>
      </c>
      <c r="W242" s="1">
        <v>43861</v>
      </c>
      <c r="X242" s="2">
        <v>2252.4499999999998</v>
      </c>
      <c r="Y242" s="1">
        <v>43861</v>
      </c>
      <c r="Z242" s="2">
        <v>18.763000000000002</v>
      </c>
      <c r="AA242" s="1">
        <v>44225</v>
      </c>
      <c r="AB242" s="2">
        <v>303.61320000000001</v>
      </c>
      <c r="AC242" s="1">
        <v>43861</v>
      </c>
      <c r="AD242" s="2">
        <v>188.4127</v>
      </c>
      <c r="AE242" s="1">
        <v>44225</v>
      </c>
      <c r="AF242" s="2">
        <v>193.09780000000001</v>
      </c>
      <c r="AG242" s="1">
        <v>44225</v>
      </c>
      <c r="AH242" s="2">
        <v>137.0857</v>
      </c>
      <c r="AI242" s="1">
        <v>44225</v>
      </c>
      <c r="AJ242" s="2">
        <v>569.80110000000002</v>
      </c>
      <c r="AK242" s="1">
        <v>43861</v>
      </c>
      <c r="AL242" s="2">
        <v>6867.6</v>
      </c>
      <c r="AM242" s="1">
        <v>43861</v>
      </c>
      <c r="AN242" s="2">
        <v>2657.05</v>
      </c>
      <c r="AO242" s="1">
        <v>43861</v>
      </c>
      <c r="AP242" s="2">
        <v>4113.3999999999996</v>
      </c>
      <c r="AQ242" s="1">
        <v>43861</v>
      </c>
      <c r="AR242" s="2">
        <v>2730.98</v>
      </c>
      <c r="AS242" s="1">
        <v>43861</v>
      </c>
      <c r="AT242" s="2">
        <v>9525.3700000000008</v>
      </c>
      <c r="AU242" s="1">
        <v>43861</v>
      </c>
      <c r="AV242" s="2">
        <v>6078.28</v>
      </c>
      <c r="AW242" s="1">
        <v>45322</v>
      </c>
      <c r="AX242" s="2">
        <v>6981.59</v>
      </c>
      <c r="AY242" s="2">
        <v>45260</v>
      </c>
      <c r="AZ242" s="2">
        <v>196.64</v>
      </c>
      <c r="BC242" s="1">
        <v>43861</v>
      </c>
      <c r="BD242" s="2">
        <v>0.98</v>
      </c>
      <c r="BE242" s="1">
        <v>43861</v>
      </c>
      <c r="BF242" s="2">
        <v>19.181999999999999</v>
      </c>
      <c r="BG242" s="2">
        <v>43861</v>
      </c>
      <c r="BH242" s="2">
        <v>-4.9359999999999999</v>
      </c>
      <c r="BI242" s="1">
        <v>43861</v>
      </c>
      <c r="BJ242" s="2">
        <v>68.468000000000004</v>
      </c>
      <c r="BK242" s="1">
        <v>43861</v>
      </c>
      <c r="BL242" s="2">
        <v>1013.849</v>
      </c>
      <c r="BM242" s="1">
        <v>45380</v>
      </c>
      <c r="BN242" s="2">
        <v>7725.6189999999997</v>
      </c>
      <c r="BO242" s="1">
        <v>45471</v>
      </c>
      <c r="BP242" s="2">
        <v>775.51</v>
      </c>
    </row>
    <row r="243" spans="1:68" x14ac:dyDescent="0.25">
      <c r="A243" s="1">
        <v>43889</v>
      </c>
      <c r="B243" s="2">
        <v>2632.4050000000002</v>
      </c>
      <c r="C243" s="1">
        <v>43889</v>
      </c>
      <c r="D243" s="2">
        <v>264.92540000000002</v>
      </c>
      <c r="E243" s="1">
        <v>43889</v>
      </c>
      <c r="F243" s="2">
        <v>214.048</v>
      </c>
      <c r="G243" s="1">
        <v>43889</v>
      </c>
      <c r="H243" s="2">
        <v>244.31806</v>
      </c>
      <c r="I243" s="1">
        <v>43921</v>
      </c>
      <c r="J243" s="2">
        <v>152.85939999999999</v>
      </c>
      <c r="K243" s="1">
        <v>43889</v>
      </c>
      <c r="L243" s="2">
        <v>154.2611</v>
      </c>
      <c r="M243" s="1">
        <v>43889</v>
      </c>
      <c r="N243" s="2">
        <v>182.83179999999999</v>
      </c>
      <c r="O243" s="1">
        <v>43921</v>
      </c>
      <c r="P243" s="2">
        <v>133.06120000000001</v>
      </c>
      <c r="Q243" s="1">
        <v>43889</v>
      </c>
      <c r="R243" s="2">
        <v>167.5847</v>
      </c>
      <c r="S243" s="1">
        <v>43889</v>
      </c>
      <c r="T243" s="2">
        <v>583.89840000000004</v>
      </c>
      <c r="U243" s="1">
        <v>43889</v>
      </c>
      <c r="V243" s="2">
        <v>363.1062</v>
      </c>
      <c r="W243" s="1">
        <v>43889</v>
      </c>
      <c r="X243" s="2">
        <v>2275.8000000000002</v>
      </c>
      <c r="Y243" s="1">
        <v>43889</v>
      </c>
      <c r="Z243" s="2">
        <v>22.962</v>
      </c>
      <c r="AA243" s="1">
        <v>44253</v>
      </c>
      <c r="AB243" s="2">
        <v>324.45030000000003</v>
      </c>
      <c r="AC243" s="1">
        <v>43889</v>
      </c>
      <c r="AD243" s="2">
        <v>179.40809999999999</v>
      </c>
      <c r="AE243" s="1">
        <v>44253</v>
      </c>
      <c r="AF243" s="2">
        <v>201.4153</v>
      </c>
      <c r="AG243" s="1">
        <v>44253</v>
      </c>
      <c r="AH243" s="2">
        <v>158.76499999999999</v>
      </c>
      <c r="AI243" s="1">
        <v>44253</v>
      </c>
      <c r="AJ243" s="2">
        <v>538.94280000000003</v>
      </c>
      <c r="AK243" s="1">
        <v>43889</v>
      </c>
      <c r="AL243" s="2">
        <v>6287.12</v>
      </c>
      <c r="AM243" s="1">
        <v>43889</v>
      </c>
      <c r="AN243" s="2">
        <v>2451.21</v>
      </c>
      <c r="AO243" s="1">
        <v>43889</v>
      </c>
      <c r="AP243" s="2">
        <v>3782.49</v>
      </c>
      <c r="AQ243" s="1">
        <v>43889</v>
      </c>
      <c r="AR243" s="2">
        <v>2534.98</v>
      </c>
      <c r="AS243" s="1">
        <v>43889</v>
      </c>
      <c r="AT243" s="2">
        <v>8609.92</v>
      </c>
      <c r="AU243" s="1">
        <v>43889</v>
      </c>
      <c r="AV243" s="2">
        <v>5631.09</v>
      </c>
      <c r="AW243" s="1">
        <v>45351</v>
      </c>
      <c r="AX243" s="2">
        <v>6969.12</v>
      </c>
      <c r="AY243" s="2">
        <v>45289</v>
      </c>
      <c r="AZ243" s="2">
        <v>211.83</v>
      </c>
      <c r="BC243" s="1">
        <v>43889</v>
      </c>
      <c r="BD243" s="2">
        <v>1.17</v>
      </c>
      <c r="BE243" s="1">
        <v>43889</v>
      </c>
      <c r="BF243" s="2">
        <v>21.135000000000002</v>
      </c>
      <c r="BG243" s="2">
        <v>43889</v>
      </c>
      <c r="BH243" s="2">
        <v>-15.166</v>
      </c>
      <c r="BI243" s="1">
        <v>43889</v>
      </c>
      <c r="BJ243" s="2">
        <v>73.798000000000002</v>
      </c>
      <c r="BK243" s="1">
        <v>43889</v>
      </c>
      <c r="BL243" s="2">
        <v>1023.9263999999999</v>
      </c>
      <c r="BM243" s="1">
        <v>45412</v>
      </c>
      <c r="BN243" s="2">
        <v>7415.5320000000002</v>
      </c>
      <c r="BO243" s="1">
        <v>45504</v>
      </c>
      <c r="BP243" s="2">
        <v>769.27</v>
      </c>
    </row>
    <row r="244" spans="1:68" x14ac:dyDescent="0.25">
      <c r="A244" s="1">
        <v>43921</v>
      </c>
      <c r="B244" s="2">
        <v>2680.3049999999998</v>
      </c>
      <c r="C244" s="1">
        <v>43921</v>
      </c>
      <c r="D244" s="2">
        <v>247.74459999999999</v>
      </c>
      <c r="E244" s="1">
        <v>43921</v>
      </c>
      <c r="F244" s="2">
        <v>197.75299999999999</v>
      </c>
      <c r="G244" s="1">
        <v>43921</v>
      </c>
      <c r="H244" s="2">
        <v>222.56362999999999</v>
      </c>
      <c r="I244" s="1">
        <v>43951</v>
      </c>
      <c r="J244" s="2">
        <v>152.59970000000001</v>
      </c>
      <c r="K244" s="1">
        <v>43921</v>
      </c>
      <c r="L244" s="2">
        <v>156.2295</v>
      </c>
      <c r="M244" s="1">
        <v>43921</v>
      </c>
      <c r="N244" s="2">
        <v>179.21350000000001</v>
      </c>
      <c r="O244" s="1">
        <v>43951</v>
      </c>
      <c r="P244" s="2">
        <v>133.43010000000001</v>
      </c>
      <c r="Q244" s="1">
        <v>43921</v>
      </c>
      <c r="R244" s="2">
        <v>167.2159</v>
      </c>
      <c r="S244" s="1">
        <v>43921</v>
      </c>
      <c r="T244" s="2">
        <v>574.81100000000004</v>
      </c>
      <c r="U244" s="1">
        <v>43921</v>
      </c>
      <c r="V244" s="2">
        <v>346.35149999999999</v>
      </c>
      <c r="W244" s="1">
        <v>43921</v>
      </c>
      <c r="X244" s="2">
        <v>2299.88</v>
      </c>
      <c r="Y244" s="1">
        <v>43921</v>
      </c>
      <c r="Z244" s="2">
        <v>41.966999999999999</v>
      </c>
      <c r="AA244" s="1">
        <v>44286</v>
      </c>
      <c r="AB244" s="2">
        <v>319.81970000000001</v>
      </c>
      <c r="AC244" s="1">
        <v>43921</v>
      </c>
      <c r="AD244" s="2">
        <v>162.57320000000001</v>
      </c>
      <c r="AE244" s="1">
        <v>44286</v>
      </c>
      <c r="AF244" s="2">
        <v>201.5701</v>
      </c>
      <c r="AG244" s="1">
        <v>44286</v>
      </c>
      <c r="AH244" s="2">
        <v>156.089</v>
      </c>
      <c r="AI244" s="1">
        <v>44286</v>
      </c>
      <c r="AJ244" s="2">
        <v>525.48569999999995</v>
      </c>
      <c r="AK244" s="1">
        <v>43921</v>
      </c>
      <c r="AL244" s="2">
        <v>5455.06</v>
      </c>
      <c r="AM244" s="1">
        <v>43921</v>
      </c>
      <c r="AN244" s="2">
        <v>2237.96</v>
      </c>
      <c r="AO244" s="1">
        <v>43921</v>
      </c>
      <c r="AP244" s="2">
        <v>3406.65</v>
      </c>
      <c r="AQ244" s="1">
        <v>43921</v>
      </c>
      <c r="AR244" s="2">
        <v>2275.9499999999998</v>
      </c>
      <c r="AS244" s="1">
        <v>43921</v>
      </c>
      <c r="AT244" s="2">
        <v>7166.52</v>
      </c>
      <c r="AU244" s="1">
        <v>43921</v>
      </c>
      <c r="AV244" s="2">
        <v>5068.83</v>
      </c>
      <c r="AW244" s="1">
        <v>45380</v>
      </c>
      <c r="AX244" s="2">
        <v>7214.08</v>
      </c>
      <c r="AY244" s="2">
        <v>45322</v>
      </c>
      <c r="AZ244" s="2">
        <v>213.48</v>
      </c>
      <c r="BC244" s="1">
        <v>43921</v>
      </c>
      <c r="BD244" s="2">
        <v>2.5499999999999998</v>
      </c>
      <c r="BE244" s="1">
        <v>43921</v>
      </c>
      <c r="BF244" s="2">
        <v>28.797999999999998</v>
      </c>
      <c r="BG244" s="2">
        <v>43921</v>
      </c>
      <c r="BH244" s="2">
        <v>54.902999999999999</v>
      </c>
      <c r="BI244" s="1">
        <v>43921</v>
      </c>
      <c r="BJ244" s="2">
        <v>93.834000000000003</v>
      </c>
      <c r="BK244" s="1">
        <v>43921</v>
      </c>
      <c r="BL244" s="2">
        <v>1017.677</v>
      </c>
      <c r="BM244" s="1">
        <v>45443</v>
      </c>
      <c r="BN244" s="2">
        <v>7837.9989999999998</v>
      </c>
      <c r="BO244" s="1">
        <v>45534</v>
      </c>
      <c r="BP244" s="2">
        <v>773.55</v>
      </c>
    </row>
    <row r="245" spans="1:68" x14ac:dyDescent="0.25">
      <c r="A245" s="1">
        <v>43951</v>
      </c>
      <c r="B245" s="2">
        <v>2684.6880000000001</v>
      </c>
      <c r="C245" s="1">
        <v>43951</v>
      </c>
      <c r="D245" s="2">
        <v>250.7159</v>
      </c>
      <c r="E245" s="1">
        <v>43951</v>
      </c>
      <c r="F245" s="2">
        <v>206.43100000000001</v>
      </c>
      <c r="G245" s="1">
        <v>43951</v>
      </c>
      <c r="H245" s="2">
        <v>221.71068</v>
      </c>
      <c r="I245" s="1">
        <v>43980</v>
      </c>
      <c r="J245" s="2">
        <v>151.7379</v>
      </c>
      <c r="K245" s="1">
        <v>43951</v>
      </c>
      <c r="L245" s="2">
        <v>154.46350000000001</v>
      </c>
      <c r="M245" s="1">
        <v>43951</v>
      </c>
      <c r="N245" s="2">
        <v>179.697</v>
      </c>
      <c r="O245" s="1">
        <v>43980</v>
      </c>
      <c r="P245" s="2">
        <v>131.95910000000001</v>
      </c>
      <c r="Q245" s="1">
        <v>43951</v>
      </c>
      <c r="R245" s="2">
        <v>166.65899999999999</v>
      </c>
      <c r="S245" s="1">
        <v>43951</v>
      </c>
      <c r="T245" s="2">
        <v>584.11649999999997</v>
      </c>
      <c r="U245" s="1">
        <v>43951</v>
      </c>
      <c r="V245" s="2">
        <v>359.0215</v>
      </c>
      <c r="W245" s="1">
        <v>43951</v>
      </c>
      <c r="X245" s="2">
        <v>2314.48</v>
      </c>
      <c r="Y245" s="1">
        <v>43951</v>
      </c>
      <c r="Z245" s="2">
        <v>44.173999999999999</v>
      </c>
      <c r="AA245" s="1">
        <v>44316</v>
      </c>
      <c r="AB245" s="2">
        <v>343.04419999999999</v>
      </c>
      <c r="AC245" s="1">
        <v>43951</v>
      </c>
      <c r="AD245" s="2">
        <v>163.2525</v>
      </c>
      <c r="AE245" s="1">
        <v>44316</v>
      </c>
      <c r="AF245" s="2">
        <v>218.2329</v>
      </c>
      <c r="AG245" s="1">
        <v>44316</v>
      </c>
      <c r="AH245" s="2">
        <v>166.98179999999999</v>
      </c>
      <c r="AI245" s="1">
        <v>44316</v>
      </c>
      <c r="AJ245" s="2">
        <v>544.30820000000006</v>
      </c>
      <c r="AK245" s="1">
        <v>43951</v>
      </c>
      <c r="AL245" s="2">
        <v>6051</v>
      </c>
      <c r="AM245" s="1">
        <v>43951</v>
      </c>
      <c r="AN245" s="2">
        <v>2487.96</v>
      </c>
      <c r="AO245" s="1">
        <v>43951</v>
      </c>
      <c r="AP245" s="2">
        <v>3652.6</v>
      </c>
      <c r="AQ245" s="1">
        <v>43951</v>
      </c>
      <c r="AR245" s="2">
        <v>2509.0700000000002</v>
      </c>
      <c r="AS245" s="1">
        <v>43951</v>
      </c>
      <c r="AT245" s="2">
        <v>7794.23</v>
      </c>
      <c r="AU245" s="1">
        <v>43951</v>
      </c>
      <c r="AV245" s="2">
        <v>5716.14</v>
      </c>
      <c r="AW245" s="1">
        <v>45412</v>
      </c>
      <c r="AX245" s="2">
        <v>6860.75</v>
      </c>
      <c r="AY245" s="2">
        <v>45351</v>
      </c>
      <c r="AZ245" s="2">
        <v>219.99</v>
      </c>
      <c r="BC245" s="1">
        <v>43951</v>
      </c>
      <c r="BD245" s="2">
        <v>1.91</v>
      </c>
      <c r="BE245" s="1">
        <v>43951</v>
      </c>
      <c r="BF245" s="2">
        <v>27.533000000000001</v>
      </c>
      <c r="BG245" s="2">
        <v>43951</v>
      </c>
      <c r="BH245" s="2">
        <v>51.723999999999997</v>
      </c>
      <c r="BI245" s="1">
        <v>43951</v>
      </c>
      <c r="BJ245" s="2">
        <v>92.084000000000003</v>
      </c>
      <c r="BK245" s="1">
        <v>43951</v>
      </c>
      <c r="BL245" s="2">
        <v>1029.7850000000001</v>
      </c>
      <c r="BM245" s="1">
        <v>45471</v>
      </c>
      <c r="BN245" s="2">
        <v>8213.33</v>
      </c>
      <c r="BO245" s="1">
        <v>45565</v>
      </c>
      <c r="BP245" s="2">
        <v>748.81</v>
      </c>
    </row>
    <row r="246" spans="1:68" x14ac:dyDescent="0.25">
      <c r="A246" s="1">
        <v>43980</v>
      </c>
      <c r="B246" s="2">
        <v>2643.739</v>
      </c>
      <c r="C246" s="1">
        <v>43980</v>
      </c>
      <c r="D246" s="2">
        <v>254.69280000000001</v>
      </c>
      <c r="E246" s="1">
        <v>43980</v>
      </c>
      <c r="F246" s="2">
        <v>205.81899999999999</v>
      </c>
      <c r="G246" s="1">
        <v>43980</v>
      </c>
      <c r="H246" s="2">
        <v>229.62895</v>
      </c>
      <c r="I246" s="1">
        <v>44012</v>
      </c>
      <c r="J246" s="2">
        <v>151.29820000000001</v>
      </c>
      <c r="K246" s="1">
        <v>43980</v>
      </c>
      <c r="L246" s="2">
        <v>154.34190000000001</v>
      </c>
      <c r="M246" s="1">
        <v>43980</v>
      </c>
      <c r="N246" s="2">
        <v>179.4023</v>
      </c>
      <c r="O246" s="1">
        <v>44012</v>
      </c>
      <c r="P246" s="2">
        <v>131.73140000000001</v>
      </c>
      <c r="Q246" s="1">
        <v>43980</v>
      </c>
      <c r="R246" s="2">
        <v>165.76679999999999</v>
      </c>
      <c r="S246" s="1">
        <v>43980</v>
      </c>
      <c r="T246" s="2">
        <v>585.77200000000005</v>
      </c>
      <c r="U246" s="1">
        <v>43980</v>
      </c>
      <c r="V246" s="2">
        <v>364.4015</v>
      </c>
      <c r="W246" s="1">
        <v>43980</v>
      </c>
      <c r="X246" s="2">
        <v>2317.31</v>
      </c>
      <c r="Y246" s="1">
        <v>43980</v>
      </c>
      <c r="Z246" s="2">
        <v>48.643999999999998</v>
      </c>
      <c r="AA246" s="1">
        <v>44347</v>
      </c>
      <c r="AB246" s="2">
        <v>356.17630000000003</v>
      </c>
      <c r="AC246" s="1">
        <v>43980</v>
      </c>
      <c r="AD246" s="2">
        <v>167.55950000000001</v>
      </c>
      <c r="AE246" s="1">
        <v>44347</v>
      </c>
      <c r="AF246" s="2">
        <v>220.19589999999999</v>
      </c>
      <c r="AG246" s="1">
        <v>44347</v>
      </c>
      <c r="AH246" s="2">
        <v>174.18430000000001</v>
      </c>
      <c r="AI246" s="1">
        <v>44347</v>
      </c>
      <c r="AJ246" s="2">
        <v>586.74549999999999</v>
      </c>
      <c r="AK246" s="1">
        <v>43980</v>
      </c>
      <c r="AL246" s="2">
        <v>6343.31</v>
      </c>
      <c r="AM246" s="1">
        <v>43980</v>
      </c>
      <c r="AN246" s="2">
        <v>2628.93</v>
      </c>
      <c r="AO246" s="1">
        <v>43980</v>
      </c>
      <c r="AP246" s="2">
        <v>3752.72</v>
      </c>
      <c r="AQ246" s="1">
        <v>43980</v>
      </c>
      <c r="AR246" s="2">
        <v>2653.45</v>
      </c>
      <c r="AS246" s="1">
        <v>43980</v>
      </c>
      <c r="AT246" s="2">
        <v>8012.37</v>
      </c>
      <c r="AU246" s="1">
        <v>43980</v>
      </c>
      <c r="AV246" s="2">
        <v>6087.78</v>
      </c>
      <c r="AW246" s="1">
        <v>45443</v>
      </c>
      <c r="AX246" s="2">
        <v>6974.39</v>
      </c>
      <c r="AY246" s="2">
        <v>45380</v>
      </c>
      <c r="AZ246" s="2">
        <v>225.17</v>
      </c>
      <c r="BC246" s="1">
        <v>43980</v>
      </c>
      <c r="BD246" s="2">
        <v>1.64</v>
      </c>
      <c r="BE246" s="1">
        <v>43980</v>
      </c>
      <c r="BF246" s="2">
        <v>34.741999999999997</v>
      </c>
      <c r="BG246" s="2">
        <v>43980</v>
      </c>
      <c r="BH246" s="2">
        <v>50.005000000000003</v>
      </c>
      <c r="BI246" s="1">
        <v>43980</v>
      </c>
      <c r="BJ246" s="2">
        <v>110.122</v>
      </c>
      <c r="BK246" s="1">
        <v>43980</v>
      </c>
      <c r="BL246" s="2">
        <v>1031.8340000000001</v>
      </c>
      <c r="BM246" s="1">
        <v>45504</v>
      </c>
      <c r="BN246" s="2">
        <v>8134.2809999999999</v>
      </c>
      <c r="BO246" s="1">
        <v>45596</v>
      </c>
      <c r="BP246" s="2">
        <v>721.29</v>
      </c>
    </row>
    <row r="247" spans="1:68" x14ac:dyDescent="0.25">
      <c r="A247" s="1">
        <v>44012</v>
      </c>
      <c r="B247" s="2">
        <v>2598.049</v>
      </c>
      <c r="C247" s="1">
        <v>44012</v>
      </c>
      <c r="D247" s="2">
        <v>255.47450000000001</v>
      </c>
      <c r="E247" s="1">
        <v>44012</v>
      </c>
      <c r="F247" s="2">
        <v>209.02199999999999</v>
      </c>
      <c r="G247" s="1">
        <v>44012</v>
      </c>
      <c r="H247" s="2">
        <v>229.95950999999999</v>
      </c>
      <c r="I247" s="1">
        <v>44043</v>
      </c>
      <c r="J247" s="2">
        <v>151.9906</v>
      </c>
      <c r="K247" s="1">
        <v>44012</v>
      </c>
      <c r="L247" s="2">
        <v>153.92750000000001</v>
      </c>
      <c r="M247" s="1">
        <v>44012</v>
      </c>
      <c r="N247" s="2">
        <v>179.6189</v>
      </c>
      <c r="O247" s="1">
        <v>44043</v>
      </c>
      <c r="P247" s="2">
        <v>132.08090000000001</v>
      </c>
      <c r="Q247" s="1">
        <v>44012</v>
      </c>
      <c r="R247" s="2">
        <v>164.7054</v>
      </c>
      <c r="S247" s="1">
        <v>44012</v>
      </c>
      <c r="T247" s="2">
        <v>588.69539999999995</v>
      </c>
      <c r="U247" s="1">
        <v>44012</v>
      </c>
      <c r="V247" s="2">
        <v>369.32920000000001</v>
      </c>
      <c r="W247" s="1">
        <v>44012</v>
      </c>
      <c r="X247" s="2">
        <v>2315.19</v>
      </c>
      <c r="Y247" s="1">
        <v>44012</v>
      </c>
      <c r="Z247" s="2">
        <v>50.366</v>
      </c>
      <c r="AA247" s="1">
        <v>44377</v>
      </c>
      <c r="AB247" s="2">
        <v>363.12909999999999</v>
      </c>
      <c r="AC247" s="1">
        <v>44012</v>
      </c>
      <c r="AD247" s="2">
        <v>171.81890000000001</v>
      </c>
      <c r="AE247" s="1">
        <v>44377</v>
      </c>
      <c r="AF247" s="2">
        <v>224.29679999999999</v>
      </c>
      <c r="AG247" s="1">
        <v>44377</v>
      </c>
      <c r="AH247" s="2">
        <v>189.1925</v>
      </c>
      <c r="AI247" s="1">
        <v>44377</v>
      </c>
      <c r="AJ247" s="2">
        <v>546.3202</v>
      </c>
      <c r="AK247" s="1">
        <v>44012</v>
      </c>
      <c r="AL247" s="2">
        <v>6511.1</v>
      </c>
      <c r="AM247" s="1">
        <v>44012</v>
      </c>
      <c r="AN247" s="2">
        <v>2676.82</v>
      </c>
      <c r="AO247" s="1">
        <v>44012</v>
      </c>
      <c r="AP247" s="2">
        <v>3742.02</v>
      </c>
      <c r="AQ247" s="1">
        <v>44012</v>
      </c>
      <c r="AR247" s="2">
        <v>2776.17</v>
      </c>
      <c r="AS247" s="1">
        <v>44012</v>
      </c>
      <c r="AT247" s="2">
        <v>8068.07</v>
      </c>
      <c r="AU247" s="1">
        <v>44012</v>
      </c>
      <c r="AV247" s="2">
        <v>6363.39</v>
      </c>
      <c r="AW247" s="1">
        <v>45471</v>
      </c>
      <c r="AX247" s="2">
        <v>7134.33</v>
      </c>
      <c r="AY247" s="2">
        <v>45412</v>
      </c>
      <c r="AZ247" s="2">
        <v>219.11</v>
      </c>
      <c r="BC247" s="1">
        <v>44012</v>
      </c>
      <c r="BD247" s="2">
        <v>1.42</v>
      </c>
      <c r="BE247" s="1">
        <v>44012</v>
      </c>
      <c r="BF247" s="2">
        <v>36.67</v>
      </c>
      <c r="BG247" s="2">
        <v>44012</v>
      </c>
      <c r="BH247" s="2">
        <v>50.649000000000001</v>
      </c>
      <c r="BI247" s="1">
        <v>44012</v>
      </c>
      <c r="BJ247" s="2">
        <v>112.129</v>
      </c>
      <c r="BK247" s="1">
        <v>44012</v>
      </c>
      <c r="BL247" s="2">
        <v>1038.4449999999999</v>
      </c>
      <c r="BM247" s="1">
        <v>45534</v>
      </c>
      <c r="BN247" s="2">
        <v>8334.5959999999995</v>
      </c>
      <c r="BO247" s="1">
        <v>45625</v>
      </c>
      <c r="BP247" s="2">
        <v>761.69</v>
      </c>
    </row>
    <row r="248" spans="1:68" x14ac:dyDescent="0.25">
      <c r="A248" s="1">
        <v>44043</v>
      </c>
      <c r="B248" s="2">
        <v>2677.634</v>
      </c>
      <c r="C248" s="1">
        <v>44043</v>
      </c>
      <c r="D248" s="2">
        <v>248.31440000000001</v>
      </c>
      <c r="E248" s="1">
        <v>44043</v>
      </c>
      <c r="F248" s="2">
        <v>204.959</v>
      </c>
      <c r="G248" s="1">
        <v>44043</v>
      </c>
      <c r="H248" s="2">
        <v>236.88372000000001</v>
      </c>
      <c r="I248" s="1">
        <v>44074</v>
      </c>
      <c r="J248" s="2">
        <v>151.99600000000001</v>
      </c>
      <c r="K248" s="1">
        <v>44043</v>
      </c>
      <c r="L248" s="2">
        <v>154.0428</v>
      </c>
      <c r="M248" s="1">
        <v>44043</v>
      </c>
      <c r="N248" s="2">
        <v>181.0137</v>
      </c>
      <c r="O248" s="1">
        <v>44074</v>
      </c>
      <c r="P248" s="2">
        <v>131.62440000000001</v>
      </c>
      <c r="Q248" s="1">
        <v>44043</v>
      </c>
      <c r="R248" s="2">
        <v>165.88069999999999</v>
      </c>
      <c r="S248" s="1">
        <v>44043</v>
      </c>
      <c r="T248" s="2">
        <v>595.12850000000003</v>
      </c>
      <c r="U248" s="1">
        <v>44043</v>
      </c>
      <c r="V248" s="2">
        <v>387.65429999999998</v>
      </c>
      <c r="W248" s="1">
        <v>44043</v>
      </c>
      <c r="X248" s="2">
        <v>2319.3200000000002</v>
      </c>
      <c r="Y248" s="1">
        <v>44043</v>
      </c>
      <c r="Z248" s="2">
        <v>41.887999999999998</v>
      </c>
      <c r="AA248" s="1">
        <v>44407</v>
      </c>
      <c r="AB248" s="2">
        <v>371.24239999999998</v>
      </c>
      <c r="AC248" s="1">
        <v>44043</v>
      </c>
      <c r="AD248" s="2">
        <v>181.69220000000001</v>
      </c>
      <c r="AE248" s="1">
        <v>44407</v>
      </c>
      <c r="AF248" s="2">
        <v>224.37719999999999</v>
      </c>
      <c r="AG248" s="1">
        <v>44407</v>
      </c>
      <c r="AH248" s="2">
        <v>194.7627</v>
      </c>
      <c r="AI248" s="1">
        <v>44407</v>
      </c>
      <c r="AJ248" s="2">
        <v>552.78120000000001</v>
      </c>
      <c r="AK248" s="1">
        <v>44043</v>
      </c>
      <c r="AL248" s="2">
        <v>6822.6</v>
      </c>
      <c r="AM248" s="1">
        <v>44043</v>
      </c>
      <c r="AN248" s="2">
        <v>2801.05</v>
      </c>
      <c r="AO248" s="1">
        <v>44043</v>
      </c>
      <c r="AP248" s="2">
        <v>3887.69</v>
      </c>
      <c r="AQ248" s="1">
        <v>44043</v>
      </c>
      <c r="AR248" s="2">
        <v>2961.46</v>
      </c>
      <c r="AS248" s="1">
        <v>44043</v>
      </c>
      <c r="AT248" s="2">
        <v>8273.35</v>
      </c>
      <c r="AU248" s="1">
        <v>44043</v>
      </c>
      <c r="AV248" s="2">
        <v>6800.1</v>
      </c>
      <c r="AW248" s="1">
        <v>45504</v>
      </c>
      <c r="AX248" s="2">
        <v>7174.68</v>
      </c>
      <c r="AY248" s="2">
        <v>45443</v>
      </c>
      <c r="AZ248" s="2">
        <v>226.76</v>
      </c>
      <c r="BC248" s="1">
        <v>44043</v>
      </c>
      <c r="BD248" s="2">
        <v>1.26</v>
      </c>
      <c r="BE248" s="1">
        <v>44043</v>
      </c>
      <c r="BF248" s="2">
        <v>32.223999999999997</v>
      </c>
      <c r="BG248" s="2">
        <v>44043</v>
      </c>
      <c r="BH248" s="2">
        <v>42.93</v>
      </c>
      <c r="BI248" s="1">
        <v>44043</v>
      </c>
      <c r="BJ248" s="2">
        <v>98.656999999999996</v>
      </c>
      <c r="BK248" s="1">
        <v>44043</v>
      </c>
      <c r="BL248" s="2">
        <v>1076.1559999999999</v>
      </c>
      <c r="BM248" s="1">
        <v>45565</v>
      </c>
      <c r="BN248" s="2">
        <v>8497.3125999999993</v>
      </c>
      <c r="BO248" s="1">
        <v>45657</v>
      </c>
      <c r="BP248" s="2">
        <v>751.6</v>
      </c>
    </row>
    <row r="249" spans="1:68" x14ac:dyDescent="0.25">
      <c r="A249" s="1">
        <v>44074</v>
      </c>
      <c r="B249" s="2">
        <v>2637.8620000000001</v>
      </c>
      <c r="C249" s="1">
        <v>44074</v>
      </c>
      <c r="D249" s="2">
        <v>249.16380000000001</v>
      </c>
      <c r="E249" s="1">
        <v>44074</v>
      </c>
      <c r="F249" s="2">
        <v>205.60499999999999</v>
      </c>
      <c r="G249" s="1">
        <v>44074</v>
      </c>
      <c r="H249" s="2">
        <v>236.25855000000001</v>
      </c>
      <c r="I249" s="1">
        <v>44104</v>
      </c>
      <c r="J249" s="2">
        <v>150.9761</v>
      </c>
      <c r="K249" s="1">
        <v>44074</v>
      </c>
      <c r="L249" s="2">
        <v>154.3886</v>
      </c>
      <c r="M249" s="1">
        <v>44074</v>
      </c>
      <c r="N249" s="2">
        <v>178.65389999999999</v>
      </c>
      <c r="O249" s="1">
        <v>44104</v>
      </c>
      <c r="P249" s="2">
        <v>130.88579999999999</v>
      </c>
      <c r="Q249" s="1">
        <v>44074</v>
      </c>
      <c r="R249" s="2">
        <v>167.3921</v>
      </c>
      <c r="S249" s="1">
        <v>44074</v>
      </c>
      <c r="T249" s="2">
        <v>590.81600000000003</v>
      </c>
      <c r="U249" s="1">
        <v>44074</v>
      </c>
      <c r="V249" s="2">
        <v>387.22550000000001</v>
      </c>
      <c r="W249" s="1">
        <v>44074</v>
      </c>
      <c r="X249" s="2">
        <v>2320.23</v>
      </c>
      <c r="Y249" s="1">
        <v>44074</v>
      </c>
      <c r="Z249" s="2">
        <v>57.194000000000003</v>
      </c>
      <c r="AA249" s="1">
        <v>44439</v>
      </c>
      <c r="AB249" s="2">
        <v>367.62259999999998</v>
      </c>
      <c r="AC249" s="1">
        <v>44074</v>
      </c>
      <c r="AD249" s="2">
        <v>191.98169999999999</v>
      </c>
      <c r="AE249" s="1">
        <v>44439</v>
      </c>
      <c r="AF249" s="2">
        <v>226.3854</v>
      </c>
      <c r="AG249" s="1">
        <v>44439</v>
      </c>
      <c r="AH249" s="2">
        <v>189.5789</v>
      </c>
      <c r="AI249" s="1">
        <v>44439</v>
      </c>
      <c r="AJ249" s="2">
        <v>545.04999999999995</v>
      </c>
      <c r="AK249" s="1">
        <v>44074</v>
      </c>
      <c r="AL249" s="2">
        <v>7278.44</v>
      </c>
      <c r="AM249" s="1">
        <v>44074</v>
      </c>
      <c r="AN249" s="2">
        <v>3001.98</v>
      </c>
      <c r="AO249" s="1">
        <v>44074</v>
      </c>
      <c r="AP249" s="2">
        <v>3982.76</v>
      </c>
      <c r="AQ249" s="1">
        <v>44074</v>
      </c>
      <c r="AR249" s="2">
        <v>3190.2</v>
      </c>
      <c r="AS249" s="1">
        <v>44074</v>
      </c>
      <c r="AT249" s="2">
        <v>8657.17</v>
      </c>
      <c r="AU249" s="1">
        <v>44074</v>
      </c>
      <c r="AV249" s="2">
        <v>7377.88</v>
      </c>
      <c r="AW249" s="1">
        <v>45534</v>
      </c>
      <c r="AX249" s="2">
        <v>7306.68</v>
      </c>
      <c r="AY249" s="2">
        <v>45471</v>
      </c>
      <c r="AZ249" s="2">
        <v>223.49</v>
      </c>
      <c r="BC249" s="1">
        <v>44074</v>
      </c>
      <c r="BD249" s="2">
        <v>1.22</v>
      </c>
      <c r="BE249" s="1">
        <v>44074</v>
      </c>
      <c r="BF249" s="2">
        <v>43.588000000000001</v>
      </c>
      <c r="BG249" s="2">
        <v>44074</v>
      </c>
      <c r="BH249" s="2">
        <v>59.576000000000001</v>
      </c>
      <c r="BI249" s="1">
        <v>44074</v>
      </c>
      <c r="BJ249" s="2">
        <v>120.57599999999999</v>
      </c>
      <c r="BK249" s="1">
        <v>44074</v>
      </c>
      <c r="BL249" s="2">
        <v>1071.3003000000001</v>
      </c>
      <c r="BM249" s="1">
        <v>45596</v>
      </c>
      <c r="BN249" s="2">
        <v>8343.2003000000004</v>
      </c>
      <c r="BO249" s="1">
        <v>45688</v>
      </c>
      <c r="BP249" s="2">
        <v>759.82</v>
      </c>
    </row>
    <row r="250" spans="1:68" x14ac:dyDescent="0.25">
      <c r="A250" s="1">
        <v>44104</v>
      </c>
      <c r="B250" s="2">
        <v>2566.9870000000001</v>
      </c>
      <c r="C250" s="1">
        <v>44104</v>
      </c>
      <c r="D250" s="2">
        <v>249.22720000000001</v>
      </c>
      <c r="E250" s="1">
        <v>44104</v>
      </c>
      <c r="F250" s="2">
        <v>207.26599999999999</v>
      </c>
      <c r="G250" s="1">
        <v>44104</v>
      </c>
      <c r="H250" s="2">
        <v>232.00298000000001</v>
      </c>
      <c r="I250" s="1">
        <v>44134</v>
      </c>
      <c r="J250" s="2">
        <v>150.98560000000001</v>
      </c>
      <c r="K250" s="1">
        <v>44104</v>
      </c>
      <c r="L250" s="2">
        <v>153.94319999999999</v>
      </c>
      <c r="M250" s="1">
        <v>44104</v>
      </c>
      <c r="N250" s="2">
        <v>179.70429999999999</v>
      </c>
      <c r="O250" s="1">
        <v>44134</v>
      </c>
      <c r="P250" s="2">
        <v>130.74180000000001</v>
      </c>
      <c r="Q250" s="1">
        <v>44104</v>
      </c>
      <c r="R250" s="2">
        <v>164.51390000000001</v>
      </c>
      <c r="S250" s="1">
        <v>44104</v>
      </c>
      <c r="T250" s="2">
        <v>592.97429999999997</v>
      </c>
      <c r="U250" s="1">
        <v>44104</v>
      </c>
      <c r="V250" s="2">
        <v>382.49290000000002</v>
      </c>
      <c r="W250" s="1">
        <v>44104</v>
      </c>
      <c r="X250" s="2">
        <v>2317.75</v>
      </c>
      <c r="Y250" s="1">
        <v>44104</v>
      </c>
      <c r="Z250" s="2">
        <v>55.313000000000002</v>
      </c>
      <c r="AA250" s="1">
        <v>44469</v>
      </c>
      <c r="AB250" s="2">
        <v>378.10719999999998</v>
      </c>
      <c r="AC250" s="1">
        <v>44104</v>
      </c>
      <c r="AD250" s="2">
        <v>187.50389999999999</v>
      </c>
      <c r="AE250" s="1">
        <v>44469</v>
      </c>
      <c r="AF250" s="2">
        <v>225.02160000000001</v>
      </c>
      <c r="AG250" s="1">
        <v>44469</v>
      </c>
      <c r="AH250" s="2">
        <v>212.46440000000001</v>
      </c>
      <c r="AI250" s="1">
        <v>44469</v>
      </c>
      <c r="AJ250" s="2">
        <v>520.79100000000005</v>
      </c>
      <c r="AK250" s="1">
        <v>44104</v>
      </c>
      <c r="AL250" s="2">
        <v>7027.34</v>
      </c>
      <c r="AM250" s="1">
        <v>44104</v>
      </c>
      <c r="AN250" s="2">
        <v>2924.14</v>
      </c>
      <c r="AO250" s="1">
        <v>44104</v>
      </c>
      <c r="AP250" s="2">
        <v>3917.18</v>
      </c>
      <c r="AQ250" s="1">
        <v>44104</v>
      </c>
      <c r="AR250" s="2">
        <v>3087.46</v>
      </c>
      <c r="AS250" s="1">
        <v>44104</v>
      </c>
      <c r="AT250" s="2">
        <v>8380.1</v>
      </c>
      <c r="AU250" s="1">
        <v>44104</v>
      </c>
      <c r="AV250" s="2">
        <v>7107.6</v>
      </c>
      <c r="AW250" s="1">
        <v>45565</v>
      </c>
      <c r="AX250" s="2">
        <v>7537.16</v>
      </c>
      <c r="AY250" s="2">
        <v>45504</v>
      </c>
      <c r="AZ250" s="2">
        <v>240.18</v>
      </c>
      <c r="BC250" s="1">
        <v>44104</v>
      </c>
      <c r="BD250" s="2">
        <v>1.28</v>
      </c>
      <c r="BE250" s="1">
        <v>44104</v>
      </c>
      <c r="BF250" s="2">
        <v>40.564999999999998</v>
      </c>
      <c r="BG250" s="2">
        <v>44104</v>
      </c>
      <c r="BH250" s="2">
        <v>58.231999999999999</v>
      </c>
      <c r="BI250" s="1">
        <v>44104</v>
      </c>
      <c r="BJ250" s="2">
        <v>117.68300000000001</v>
      </c>
      <c r="BK250" s="1">
        <v>44104</v>
      </c>
      <c r="BL250" s="2">
        <v>1068.9612</v>
      </c>
      <c r="BM250" s="1">
        <v>45625</v>
      </c>
      <c r="BN250" s="2">
        <v>8783.0000999999993</v>
      </c>
      <c r="BO250" s="1">
        <v>45716</v>
      </c>
      <c r="BP250" s="2">
        <v>759.06</v>
      </c>
    </row>
    <row r="251" spans="1:68" x14ac:dyDescent="0.25">
      <c r="A251" s="1">
        <v>44134</v>
      </c>
      <c r="B251" s="2">
        <v>2581.971</v>
      </c>
      <c r="C251" s="1">
        <v>44134</v>
      </c>
      <c r="D251" s="2">
        <v>249.07730000000001</v>
      </c>
      <c r="E251" s="1">
        <v>44134</v>
      </c>
      <c r="F251" s="2">
        <v>205.68</v>
      </c>
      <c r="G251" s="1">
        <v>44134</v>
      </c>
      <c r="H251" s="2">
        <v>230.00712999999999</v>
      </c>
      <c r="I251" s="1">
        <v>44165</v>
      </c>
      <c r="J251" s="2">
        <v>151.9119</v>
      </c>
      <c r="K251" s="1">
        <v>44134</v>
      </c>
      <c r="L251" s="2">
        <v>152.5523</v>
      </c>
      <c r="M251" s="1">
        <v>44134</v>
      </c>
      <c r="N251" s="2">
        <v>180.56319999999999</v>
      </c>
      <c r="O251" s="1">
        <v>44165</v>
      </c>
      <c r="P251" s="2">
        <v>131.8023</v>
      </c>
      <c r="Q251" s="1">
        <v>44134</v>
      </c>
      <c r="R251" s="2">
        <v>165.28149999999999</v>
      </c>
      <c r="S251" s="1">
        <v>44134</v>
      </c>
      <c r="T251" s="2">
        <v>593.01750000000004</v>
      </c>
      <c r="U251" s="1">
        <v>44134</v>
      </c>
      <c r="V251" s="2">
        <v>382.55099999999999</v>
      </c>
      <c r="W251" s="1">
        <v>44134</v>
      </c>
      <c r="X251" s="2">
        <v>2316.8200000000002</v>
      </c>
      <c r="Y251" s="1">
        <v>44134</v>
      </c>
      <c r="Z251" s="2">
        <v>71.733999999999995</v>
      </c>
      <c r="AA251" s="1">
        <v>44498</v>
      </c>
      <c r="AB251" s="2">
        <v>394.6343</v>
      </c>
      <c r="AC251" s="1">
        <v>44134</v>
      </c>
      <c r="AD251" s="2">
        <v>188.18729999999999</v>
      </c>
      <c r="AE251" s="1">
        <v>44498</v>
      </c>
      <c r="AF251" s="2">
        <v>230.3383</v>
      </c>
      <c r="AG251" s="1">
        <v>44498</v>
      </c>
      <c r="AH251" s="2">
        <v>223.68799999999999</v>
      </c>
      <c r="AI251" s="1">
        <v>44498</v>
      </c>
      <c r="AJ251" s="2">
        <v>536.74</v>
      </c>
      <c r="AK251" s="1">
        <v>44134</v>
      </c>
      <c r="AL251" s="2">
        <v>6811.78</v>
      </c>
      <c r="AM251" s="1">
        <v>44134</v>
      </c>
      <c r="AN251" s="2">
        <v>2815.16</v>
      </c>
      <c r="AO251" s="1">
        <v>44134</v>
      </c>
      <c r="AP251" s="2">
        <v>3791.29</v>
      </c>
      <c r="AQ251" s="1">
        <v>44134</v>
      </c>
      <c r="AR251" s="2">
        <v>2977.92</v>
      </c>
      <c r="AS251" s="1">
        <v>44134</v>
      </c>
      <c r="AT251" s="2">
        <v>8143.05</v>
      </c>
      <c r="AU251" s="1">
        <v>44134</v>
      </c>
      <c r="AV251" s="2">
        <v>6875.07</v>
      </c>
      <c r="AW251" s="1">
        <v>45596</v>
      </c>
      <c r="AX251" s="2">
        <v>7221.09</v>
      </c>
      <c r="AY251" s="2">
        <v>45534</v>
      </c>
      <c r="AZ251" s="2">
        <v>239.53</v>
      </c>
      <c r="BC251" s="1">
        <v>44134</v>
      </c>
      <c r="BD251" s="2">
        <v>1.19</v>
      </c>
      <c r="BE251" s="1">
        <v>44134</v>
      </c>
      <c r="BF251" s="2">
        <v>48.777999999999999</v>
      </c>
      <c r="BG251" s="2">
        <v>44134</v>
      </c>
      <c r="BH251" s="2">
        <v>78.221999999999994</v>
      </c>
      <c r="BI251" s="1">
        <v>44134</v>
      </c>
      <c r="BJ251" s="2">
        <v>127.31399999999999</v>
      </c>
      <c r="BK251" s="1">
        <v>44134</v>
      </c>
      <c r="BL251" s="2">
        <v>1067.0129999999999</v>
      </c>
      <c r="BM251" s="1">
        <v>45657</v>
      </c>
      <c r="BN251" s="2">
        <v>8812.5748999999996</v>
      </c>
      <c r="BO251" s="1">
        <v>45747</v>
      </c>
      <c r="BP251" s="2">
        <v>729.32</v>
      </c>
    </row>
    <row r="252" spans="1:68" x14ac:dyDescent="0.25">
      <c r="A252" s="1">
        <v>44165</v>
      </c>
      <c r="B252" s="2">
        <v>2612.5529999999999</v>
      </c>
      <c r="C252" s="1">
        <v>44165</v>
      </c>
      <c r="D252" s="2">
        <v>256.42989999999998</v>
      </c>
      <c r="E252" s="1">
        <v>44165</v>
      </c>
      <c r="F252" s="2">
        <v>212.56899999999999</v>
      </c>
      <c r="G252" s="1">
        <v>44165</v>
      </c>
      <c r="H252" s="2">
        <v>242.74744000000001</v>
      </c>
      <c r="I252" s="1">
        <v>44196</v>
      </c>
      <c r="J252" s="2">
        <v>153.88570000000001</v>
      </c>
      <c r="K252" s="1">
        <v>44165</v>
      </c>
      <c r="L252" s="2">
        <v>152.6703</v>
      </c>
      <c r="M252" s="1">
        <v>44165</v>
      </c>
      <c r="N252" s="2">
        <v>179.93100000000001</v>
      </c>
      <c r="O252" s="1">
        <v>44196</v>
      </c>
      <c r="P252" s="2">
        <v>133.78479999999999</v>
      </c>
      <c r="Q252" s="1">
        <v>44165</v>
      </c>
      <c r="R252" s="2">
        <v>167.4271</v>
      </c>
      <c r="S252" s="1">
        <v>44165</v>
      </c>
      <c r="T252" s="2">
        <v>596.40120000000002</v>
      </c>
      <c r="U252" s="1">
        <v>44165</v>
      </c>
      <c r="V252" s="2">
        <v>392.61860000000001</v>
      </c>
      <c r="W252" s="1">
        <v>44165</v>
      </c>
      <c r="X252" s="2">
        <v>2318.44</v>
      </c>
      <c r="Y252" s="1">
        <v>44165</v>
      </c>
      <c r="Z252" s="2">
        <v>68.846000000000004</v>
      </c>
      <c r="AA252" s="1">
        <v>44530</v>
      </c>
      <c r="AB252" s="2">
        <v>371.43060000000003</v>
      </c>
      <c r="AC252" s="1">
        <v>44165</v>
      </c>
      <c r="AD252" s="2">
        <v>195.1174</v>
      </c>
      <c r="AE252" s="1">
        <v>44530</v>
      </c>
      <c r="AF252" s="2">
        <v>230.8776</v>
      </c>
      <c r="AG252" s="1">
        <v>44530</v>
      </c>
      <c r="AH252" s="2">
        <v>190.9683</v>
      </c>
      <c r="AI252" s="1">
        <v>44530</v>
      </c>
      <c r="AJ252" s="2">
        <v>528.75670000000002</v>
      </c>
      <c r="AK252" s="1">
        <v>44165</v>
      </c>
      <c r="AL252" s="2">
        <v>7682.74</v>
      </c>
      <c r="AM252" s="1">
        <v>44165</v>
      </c>
      <c r="AN252" s="2">
        <v>3114.18</v>
      </c>
      <c r="AO252" s="1">
        <v>44165</v>
      </c>
      <c r="AP252" s="2">
        <v>4056.5</v>
      </c>
      <c r="AQ252" s="1">
        <v>44165</v>
      </c>
      <c r="AR252" s="2">
        <v>3271.88</v>
      </c>
      <c r="AS252" s="1">
        <v>44165</v>
      </c>
      <c r="AT252" s="2">
        <v>9365.2199999999993</v>
      </c>
      <c r="AU252" s="1">
        <v>44165</v>
      </c>
      <c r="AV252" s="2">
        <v>7622.77</v>
      </c>
      <c r="AW252" s="1">
        <v>45625</v>
      </c>
      <c r="AX252" s="2">
        <v>7354.33</v>
      </c>
      <c r="AY252" s="2">
        <v>45565</v>
      </c>
      <c r="AZ252" s="2">
        <v>248.94</v>
      </c>
      <c r="BC252" s="1">
        <v>44165</v>
      </c>
      <c r="BD252" s="2">
        <v>1</v>
      </c>
      <c r="BE252" s="1">
        <v>44165</v>
      </c>
      <c r="BF252" s="2">
        <v>47.655999999999999</v>
      </c>
      <c r="BG252" s="2">
        <v>44165</v>
      </c>
      <c r="BH252" s="2">
        <v>75.757999999999996</v>
      </c>
      <c r="BI252" s="1">
        <v>44165</v>
      </c>
      <c r="BJ252" s="2">
        <v>120.49299999999999</v>
      </c>
      <c r="BK252" s="1">
        <v>44165</v>
      </c>
      <c r="BL252" s="2">
        <v>1083.809</v>
      </c>
      <c r="BM252" s="1">
        <v>45688</v>
      </c>
      <c r="BN252" s="2">
        <v>9045.7083000000002</v>
      </c>
      <c r="BO252" s="1">
        <v>45777</v>
      </c>
      <c r="BP252" s="2">
        <v>660.22</v>
      </c>
    </row>
    <row r="253" spans="1:68" x14ac:dyDescent="0.25">
      <c r="A253" s="1">
        <v>44196</v>
      </c>
      <c r="B253" s="2">
        <v>2784.7289999999998</v>
      </c>
      <c r="C253" s="1">
        <v>44196</v>
      </c>
      <c r="D253" s="2">
        <v>258.36290000000002</v>
      </c>
      <c r="E253" s="1">
        <v>44196</v>
      </c>
      <c r="F253" s="2">
        <v>212.44900000000001</v>
      </c>
      <c r="G253" s="1">
        <v>44196</v>
      </c>
      <c r="H253" s="2">
        <v>249.60334</v>
      </c>
      <c r="I253" s="1">
        <v>44225</v>
      </c>
      <c r="J253" s="2">
        <v>154.0712</v>
      </c>
      <c r="K253" s="1">
        <v>44196</v>
      </c>
      <c r="L253" s="2">
        <v>154.76859999999999</v>
      </c>
      <c r="M253" s="1">
        <v>44196</v>
      </c>
      <c r="N253" s="2">
        <v>179.7895</v>
      </c>
      <c r="O253" s="1">
        <v>44225</v>
      </c>
      <c r="P253" s="2">
        <v>135.01820000000001</v>
      </c>
      <c r="Q253" s="1">
        <v>44196</v>
      </c>
      <c r="R253" s="2">
        <v>170.41239999999999</v>
      </c>
      <c r="S253" s="1">
        <v>44196</v>
      </c>
      <c r="T253" s="2">
        <v>598.23350000000005</v>
      </c>
      <c r="U253" s="1">
        <v>44196</v>
      </c>
      <c r="V253" s="2">
        <v>401.1628</v>
      </c>
      <c r="W253" s="1">
        <v>44196</v>
      </c>
      <c r="X253" s="2">
        <v>2323.4299999999998</v>
      </c>
      <c r="Y253" s="1">
        <v>44196</v>
      </c>
      <c r="Z253" s="2">
        <v>79.013999999999996</v>
      </c>
      <c r="AA253" s="1">
        <v>44561</v>
      </c>
      <c r="AB253" s="2">
        <v>393.2543</v>
      </c>
      <c r="AC253" s="1">
        <v>44196</v>
      </c>
      <c r="AD253" s="2">
        <v>204.5813</v>
      </c>
      <c r="AE253" s="1">
        <v>44561</v>
      </c>
      <c r="AF253" s="2">
        <v>238.58410000000001</v>
      </c>
      <c r="AG253" s="1">
        <v>44561</v>
      </c>
      <c r="AH253" s="2">
        <v>210.1953</v>
      </c>
      <c r="AI253" s="1">
        <v>44561</v>
      </c>
      <c r="AJ253" s="2">
        <v>543.73149999999998</v>
      </c>
      <c r="AK253" s="1">
        <v>44196</v>
      </c>
      <c r="AL253" s="2">
        <v>8008.47</v>
      </c>
      <c r="AM253" s="1">
        <v>44196</v>
      </c>
      <c r="AN253" s="2">
        <v>3229.12</v>
      </c>
      <c r="AO253" s="1">
        <v>44196</v>
      </c>
      <c r="AP253" s="2">
        <v>4139.88</v>
      </c>
      <c r="AQ253" s="1">
        <v>44196</v>
      </c>
      <c r="AR253" s="2">
        <v>3412.94</v>
      </c>
      <c r="AS253" s="1">
        <v>44196</v>
      </c>
      <c r="AT253" s="2">
        <v>9698.34</v>
      </c>
      <c r="AU253" s="1">
        <v>44196</v>
      </c>
      <c r="AV253" s="2">
        <v>7999.36</v>
      </c>
      <c r="AW253" s="1">
        <v>45657</v>
      </c>
      <c r="AX253" s="2">
        <v>7223.9</v>
      </c>
      <c r="AY253" s="2">
        <v>45596</v>
      </c>
      <c r="AZ253" s="2">
        <v>248.18</v>
      </c>
      <c r="BC253" s="1">
        <v>44196</v>
      </c>
      <c r="BD253" s="2">
        <v>0.92</v>
      </c>
      <c r="BE253" s="1">
        <v>44196</v>
      </c>
      <c r="BF253" s="2">
        <v>55.082000000000001</v>
      </c>
      <c r="BG253" s="2">
        <v>44196</v>
      </c>
      <c r="BH253" s="2">
        <v>82.697000000000003</v>
      </c>
      <c r="BI253" s="1">
        <v>44196</v>
      </c>
      <c r="BJ253" s="2">
        <v>128.12200000000001</v>
      </c>
      <c r="BK253" s="1">
        <v>44196</v>
      </c>
      <c r="BL253" s="2">
        <v>1098.5550000000001</v>
      </c>
      <c r="BM253" s="1">
        <v>45716</v>
      </c>
      <c r="BN253" s="2">
        <v>8789.4176000000007</v>
      </c>
      <c r="BO253" s="1">
        <v>45807</v>
      </c>
      <c r="BP253" s="2">
        <v>690.58</v>
      </c>
    </row>
    <row r="254" spans="1:68" x14ac:dyDescent="0.25">
      <c r="A254" s="1">
        <v>44225</v>
      </c>
      <c r="B254" s="2">
        <v>2763.8609999999999</v>
      </c>
      <c r="C254" s="1">
        <v>44225</v>
      </c>
      <c r="D254" s="2">
        <v>261.01859999999999</v>
      </c>
      <c r="E254" s="1">
        <v>44225</v>
      </c>
      <c r="F254" s="2">
        <v>215.18199999999999</v>
      </c>
      <c r="G254" s="1">
        <v>44225</v>
      </c>
      <c r="H254" s="2">
        <v>247.83028999999999</v>
      </c>
      <c r="I254" s="1">
        <v>44253</v>
      </c>
      <c r="J254" s="2">
        <v>156.09880000000001</v>
      </c>
      <c r="K254" s="1">
        <v>44225</v>
      </c>
      <c r="L254" s="2">
        <v>155.64599999999999</v>
      </c>
      <c r="M254" s="1">
        <v>44225</v>
      </c>
      <c r="N254" s="2">
        <v>179.47659999999999</v>
      </c>
      <c r="O254" s="1">
        <v>44253</v>
      </c>
      <c r="P254" s="2">
        <v>137.86799999999999</v>
      </c>
      <c r="Q254" s="1">
        <v>44225</v>
      </c>
      <c r="R254" s="2">
        <v>169.19900000000001</v>
      </c>
      <c r="S254" s="1">
        <v>44225</v>
      </c>
      <c r="T254" s="2">
        <v>595.02459999999996</v>
      </c>
      <c r="U254" s="1">
        <v>44225</v>
      </c>
      <c r="V254" s="2">
        <v>397.44479999999999</v>
      </c>
      <c r="W254" s="1">
        <v>44225</v>
      </c>
      <c r="X254" s="2">
        <v>2325.2199999999998</v>
      </c>
      <c r="Y254" s="1">
        <v>44225</v>
      </c>
      <c r="Z254" s="2">
        <v>95.221999999999994</v>
      </c>
      <c r="AA254" s="1">
        <v>44592</v>
      </c>
      <c r="AB254" s="2">
        <v>420.03640000000001</v>
      </c>
      <c r="AC254" s="1">
        <v>44225</v>
      </c>
      <c r="AD254" s="2">
        <v>208.75579999999999</v>
      </c>
      <c r="AE254" s="1">
        <v>44592</v>
      </c>
      <c r="AF254" s="2">
        <v>250.30119999999999</v>
      </c>
      <c r="AG254" s="1">
        <v>44592</v>
      </c>
      <c r="AH254" s="2">
        <v>243.05959999999999</v>
      </c>
      <c r="AI254" s="1">
        <v>44592</v>
      </c>
      <c r="AJ254" s="2">
        <v>531.02880000000005</v>
      </c>
      <c r="AK254" s="1">
        <v>44225</v>
      </c>
      <c r="AL254" s="2">
        <v>7928.87</v>
      </c>
      <c r="AM254" s="1">
        <v>44225</v>
      </c>
      <c r="AN254" s="2">
        <v>3161.41</v>
      </c>
      <c r="AO254" s="1">
        <v>44225</v>
      </c>
      <c r="AP254" s="2">
        <v>4059.93</v>
      </c>
      <c r="AQ254" s="1">
        <v>44225</v>
      </c>
      <c r="AR254" s="2">
        <v>3441</v>
      </c>
      <c r="AS254" s="1">
        <v>44225</v>
      </c>
      <c r="AT254" s="2">
        <v>9600.33</v>
      </c>
      <c r="AU254" s="1">
        <v>44225</v>
      </c>
      <c r="AV254" s="2">
        <v>7921.15</v>
      </c>
      <c r="AW254" s="1">
        <v>45688</v>
      </c>
      <c r="AX254" s="2">
        <v>7433.42</v>
      </c>
      <c r="AY254" s="2">
        <v>45625</v>
      </c>
      <c r="AZ254" s="2">
        <v>269.44</v>
      </c>
      <c r="BC254" s="1">
        <v>44225</v>
      </c>
      <c r="BD254" s="2">
        <v>0.92</v>
      </c>
      <c r="BE254" s="1">
        <v>44225</v>
      </c>
      <c r="BF254" s="2">
        <v>64.302000000000007</v>
      </c>
      <c r="BG254" s="2">
        <v>44225</v>
      </c>
      <c r="BH254" s="2">
        <v>100.97</v>
      </c>
      <c r="BI254" s="1">
        <v>44225</v>
      </c>
      <c r="BJ254" s="2">
        <v>140.666</v>
      </c>
      <c r="BK254" s="1">
        <v>44225</v>
      </c>
      <c r="BL254" s="2">
        <v>1084.491</v>
      </c>
      <c r="BM254" s="1">
        <v>45747</v>
      </c>
      <c r="BN254" s="2">
        <v>8130.0207</v>
      </c>
      <c r="BO254" s="1">
        <v>45838</v>
      </c>
      <c r="BP254" s="2">
        <v>702.09</v>
      </c>
    </row>
    <row r="255" spans="1:68" x14ac:dyDescent="0.25">
      <c r="A255" s="1">
        <v>44253</v>
      </c>
      <c r="B255" s="2">
        <v>2864.2440000000001</v>
      </c>
      <c r="C255" s="1">
        <v>44253</v>
      </c>
      <c r="D255" s="2">
        <v>262.04230000000001</v>
      </c>
      <c r="E255" s="1">
        <v>44253</v>
      </c>
      <c r="F255" s="2">
        <v>217.874</v>
      </c>
      <c r="G255" s="1">
        <v>44253</v>
      </c>
      <c r="H255" s="2">
        <v>245.03728000000001</v>
      </c>
      <c r="I255" s="1">
        <v>44286</v>
      </c>
      <c r="J255" s="2">
        <v>156.67339999999999</v>
      </c>
      <c r="K255" s="1">
        <v>44253</v>
      </c>
      <c r="L255" s="2">
        <v>158.72120000000001</v>
      </c>
      <c r="M255" s="1">
        <v>44253</v>
      </c>
      <c r="N255" s="2">
        <v>184.488</v>
      </c>
      <c r="O255" s="1">
        <v>44286</v>
      </c>
      <c r="P255" s="2">
        <v>137.56790000000001</v>
      </c>
      <c r="Q255" s="1">
        <v>44253</v>
      </c>
      <c r="R255" s="2">
        <v>168.0804</v>
      </c>
      <c r="S255" s="1">
        <v>44253</v>
      </c>
      <c r="T255" s="2">
        <v>585.76890000000003</v>
      </c>
      <c r="U255" s="1">
        <v>44253</v>
      </c>
      <c r="V255" s="2">
        <v>388.64400000000001</v>
      </c>
      <c r="W255" s="1">
        <v>44253</v>
      </c>
      <c r="X255" s="2">
        <v>2309.69</v>
      </c>
      <c r="Y255" s="1">
        <v>44253</v>
      </c>
      <c r="Z255" s="2">
        <v>127.209</v>
      </c>
      <c r="AA255" s="1">
        <v>44620</v>
      </c>
      <c r="AB255" s="2">
        <v>447.57069999999999</v>
      </c>
      <c r="AC255" s="1">
        <v>44253</v>
      </c>
      <c r="AD255" s="2">
        <v>222.17089999999999</v>
      </c>
      <c r="AE255" s="1">
        <v>44620</v>
      </c>
      <c r="AF255" s="2">
        <v>265.22579999999999</v>
      </c>
      <c r="AG255" s="1">
        <v>44620</v>
      </c>
      <c r="AH255" s="2">
        <v>260.55459999999999</v>
      </c>
      <c r="AI255" s="1">
        <v>44620</v>
      </c>
      <c r="AJ255" s="2">
        <v>565.58519999999999</v>
      </c>
      <c r="AK255" s="1">
        <v>44253</v>
      </c>
      <c r="AL255" s="2">
        <v>8132.05</v>
      </c>
      <c r="AM255" s="1">
        <v>44253</v>
      </c>
      <c r="AN255" s="2">
        <v>3199.7</v>
      </c>
      <c r="AO255" s="1">
        <v>44253</v>
      </c>
      <c r="AP255" s="2">
        <v>3993.74</v>
      </c>
      <c r="AQ255" s="1">
        <v>44253</v>
      </c>
      <c r="AR255" s="2">
        <v>3419.07</v>
      </c>
      <c r="AS255" s="1">
        <v>44253</v>
      </c>
      <c r="AT255" s="2">
        <v>10051.67</v>
      </c>
      <c r="AU255" s="1">
        <v>44253</v>
      </c>
      <c r="AV255" s="2">
        <v>7953</v>
      </c>
      <c r="AW255" s="1">
        <v>45716</v>
      </c>
      <c r="AX255" s="2">
        <v>7480.5</v>
      </c>
      <c r="AY255" s="2">
        <v>45657</v>
      </c>
      <c r="AZ255" s="2">
        <v>254.63</v>
      </c>
      <c r="BC255" s="1">
        <v>44253</v>
      </c>
      <c r="BD255" s="2">
        <v>0.86</v>
      </c>
      <c r="BE255" s="1">
        <v>44253</v>
      </c>
      <c r="BF255" s="2">
        <v>67.204999999999998</v>
      </c>
      <c r="BG255" s="2">
        <v>44253</v>
      </c>
      <c r="BH255" s="2">
        <v>136.18299999999999</v>
      </c>
      <c r="BI255" s="1">
        <v>44253</v>
      </c>
      <c r="BJ255" s="2">
        <v>141.83799999999999</v>
      </c>
      <c r="BK255" s="1">
        <v>44253</v>
      </c>
      <c r="BL255" s="2">
        <v>1058.289</v>
      </c>
      <c r="BM255" s="1">
        <v>45777</v>
      </c>
      <c r="BN255" s="2">
        <v>8388.9541000000008</v>
      </c>
      <c r="BO255" s="1">
        <v>45869</v>
      </c>
      <c r="BP255" s="2">
        <v>726.02</v>
      </c>
    </row>
    <row r="256" spans="1:68" x14ac:dyDescent="0.25">
      <c r="A256" s="1">
        <v>44286</v>
      </c>
      <c r="B256" s="2">
        <v>2895.4059999999999</v>
      </c>
      <c r="C256" s="1">
        <v>44286</v>
      </c>
      <c r="D256" s="2">
        <v>267.00670000000002</v>
      </c>
      <c r="E256" s="1">
        <v>44286</v>
      </c>
      <c r="F256" s="2">
        <v>224.452</v>
      </c>
      <c r="G256" s="1">
        <v>44286</v>
      </c>
      <c r="H256" s="2">
        <v>241.75998000000001</v>
      </c>
      <c r="I256" s="1">
        <v>44316</v>
      </c>
      <c r="J256" s="2">
        <v>157.9581</v>
      </c>
      <c r="K256" s="1">
        <v>44286</v>
      </c>
      <c r="L256" s="2">
        <v>163.3494</v>
      </c>
      <c r="M256" s="1">
        <v>44286</v>
      </c>
      <c r="N256" s="2">
        <v>184.81139999999999</v>
      </c>
      <c r="O256" s="1">
        <v>44316</v>
      </c>
      <c r="P256" s="2">
        <v>140.2654</v>
      </c>
      <c r="Q256" s="1">
        <v>44286</v>
      </c>
      <c r="R256" s="2">
        <v>166.83410000000001</v>
      </c>
      <c r="S256" s="1">
        <v>44286</v>
      </c>
      <c r="T256" s="2">
        <v>583.46100000000001</v>
      </c>
      <c r="U256" s="1">
        <v>44286</v>
      </c>
      <c r="V256" s="2">
        <v>387.43009999999998</v>
      </c>
      <c r="W256" s="1">
        <v>44286</v>
      </c>
      <c r="X256" s="2">
        <v>2297.87</v>
      </c>
      <c r="Y256" s="1">
        <v>44286</v>
      </c>
      <c r="Z256" s="2">
        <v>157.624</v>
      </c>
      <c r="AA256" s="1">
        <v>44651</v>
      </c>
      <c r="AB256" s="2">
        <v>482.80450000000002</v>
      </c>
      <c r="AC256" s="1">
        <v>44286</v>
      </c>
      <c r="AD256" s="2">
        <v>218.14259999999999</v>
      </c>
      <c r="AE256" s="1">
        <v>44651</v>
      </c>
      <c r="AF256" s="2">
        <v>275.90679999999998</v>
      </c>
      <c r="AG256" s="1">
        <v>44651</v>
      </c>
      <c r="AH256" s="2">
        <v>295.94450000000001</v>
      </c>
      <c r="AI256" s="1">
        <v>44651</v>
      </c>
      <c r="AJ256" s="2">
        <v>582.04949999999997</v>
      </c>
      <c r="AK256" s="1">
        <v>44286</v>
      </c>
      <c r="AL256" s="2">
        <v>8402.6200000000008</v>
      </c>
      <c r="AM256" s="1">
        <v>44286</v>
      </c>
      <c r="AN256" s="2">
        <v>3321.58</v>
      </c>
      <c r="AO256" s="1">
        <v>44286</v>
      </c>
      <c r="AP256" s="2">
        <v>4190.68</v>
      </c>
      <c r="AQ256" s="1">
        <v>44286</v>
      </c>
      <c r="AR256" s="2">
        <v>3427.57</v>
      </c>
      <c r="AS256" s="1">
        <v>44286</v>
      </c>
      <c r="AT256" s="2">
        <v>10625.91</v>
      </c>
      <c r="AU256" s="1">
        <v>44286</v>
      </c>
      <c r="AV256" s="2">
        <v>8018.74</v>
      </c>
      <c r="AW256" s="1">
        <v>45747</v>
      </c>
      <c r="AX256" s="2">
        <v>7398.36</v>
      </c>
      <c r="AY256" s="2">
        <v>45688</v>
      </c>
      <c r="AZ256" s="2">
        <v>272.36</v>
      </c>
      <c r="BC256" s="1">
        <v>44286</v>
      </c>
      <c r="BD256" s="2">
        <v>0.86</v>
      </c>
      <c r="BE256" s="1">
        <v>44286</v>
      </c>
      <c r="BF256" s="2">
        <v>79.954999999999998</v>
      </c>
      <c r="BG256" s="2">
        <v>44286</v>
      </c>
      <c r="BH256" s="2">
        <v>172.01599999999999</v>
      </c>
      <c r="BI256" s="1">
        <v>44286</v>
      </c>
      <c r="BJ256" s="2">
        <v>146.96899999999999</v>
      </c>
      <c r="BK256" s="1">
        <v>44286</v>
      </c>
      <c r="BL256" s="2">
        <v>1036.184</v>
      </c>
      <c r="BM256" s="1">
        <v>45807</v>
      </c>
      <c r="BN256" s="2">
        <v>9118.7266999999993</v>
      </c>
      <c r="BO256" s="1">
        <v>45898</v>
      </c>
      <c r="BP256" s="2">
        <v>753.26</v>
      </c>
    </row>
    <row r="257" spans="1:68" x14ac:dyDescent="0.25">
      <c r="A257" s="1">
        <v>44316</v>
      </c>
      <c r="B257" s="2">
        <v>2976.8330000000001</v>
      </c>
      <c r="C257" s="1">
        <v>44316</v>
      </c>
      <c r="D257" s="2">
        <v>263.30939999999998</v>
      </c>
      <c r="E257" s="1">
        <v>44316</v>
      </c>
      <c r="F257" s="2">
        <v>222.71700000000001</v>
      </c>
      <c r="G257" s="1">
        <v>44316</v>
      </c>
      <c r="H257" s="2">
        <v>247.27975000000001</v>
      </c>
      <c r="I257" s="1">
        <v>44347</v>
      </c>
      <c r="J257" s="2">
        <v>158.886</v>
      </c>
      <c r="K257" s="1">
        <v>44316</v>
      </c>
      <c r="L257" s="2">
        <v>165.42</v>
      </c>
      <c r="M257" s="1">
        <v>44316</v>
      </c>
      <c r="N257" s="2">
        <v>184.45339999999999</v>
      </c>
      <c r="O257" s="1">
        <v>44347</v>
      </c>
      <c r="P257" s="2">
        <v>140.65559999999999</v>
      </c>
      <c r="Q257" s="1">
        <v>44316</v>
      </c>
      <c r="R257" s="2">
        <v>166.84020000000001</v>
      </c>
      <c r="S257" s="1">
        <v>44316</v>
      </c>
      <c r="T257" s="2">
        <v>584.98630000000003</v>
      </c>
      <c r="U257" s="1">
        <v>44316</v>
      </c>
      <c r="V257" s="2">
        <v>393.005</v>
      </c>
      <c r="W257" s="1">
        <v>44316</v>
      </c>
      <c r="X257" s="2">
        <v>2310.5500000000002</v>
      </c>
      <c r="Y257" s="1">
        <v>44316</v>
      </c>
      <c r="Z257" s="2">
        <v>146.15600000000001</v>
      </c>
      <c r="AA257" s="1">
        <v>44680</v>
      </c>
      <c r="AB257" s="2">
        <v>496.74849999999998</v>
      </c>
      <c r="AC257" s="1">
        <v>44316</v>
      </c>
      <c r="AD257" s="2">
        <v>235.82929999999999</v>
      </c>
      <c r="AE257" s="1">
        <v>44680</v>
      </c>
      <c r="AF257" s="2">
        <v>289.10039999999998</v>
      </c>
      <c r="AG257" s="1">
        <v>44680</v>
      </c>
      <c r="AH257" s="2">
        <v>323.41919999999999</v>
      </c>
      <c r="AI257" s="1">
        <v>44680</v>
      </c>
      <c r="AJ257" s="2">
        <v>561.43759999999997</v>
      </c>
      <c r="AK257" s="1">
        <v>44316</v>
      </c>
      <c r="AL257" s="2">
        <v>8793.68</v>
      </c>
      <c r="AM257" s="1">
        <v>44316</v>
      </c>
      <c r="AN257" s="2">
        <v>3494.53</v>
      </c>
      <c r="AO257" s="1">
        <v>44316</v>
      </c>
      <c r="AP257" s="2">
        <v>4314.91</v>
      </c>
      <c r="AQ257" s="1">
        <v>44316</v>
      </c>
      <c r="AR257" s="2">
        <v>3660.52</v>
      </c>
      <c r="AS257" s="1">
        <v>44316</v>
      </c>
      <c r="AT257" s="2">
        <v>10960.78</v>
      </c>
      <c r="AU257" s="1">
        <v>44316</v>
      </c>
      <c r="AV257" s="2">
        <v>8524.08</v>
      </c>
      <c r="AW257" s="1">
        <v>45777</v>
      </c>
      <c r="AX257" s="2">
        <v>7445.17</v>
      </c>
      <c r="AY257" s="2">
        <v>45716</v>
      </c>
      <c r="AZ257" s="2">
        <v>259.63</v>
      </c>
      <c r="BC257" s="1">
        <v>44316</v>
      </c>
      <c r="BD257" s="2">
        <v>0.83</v>
      </c>
      <c r="BE257" s="1">
        <v>44316</v>
      </c>
      <c r="BF257" s="2">
        <v>77.477999999999994</v>
      </c>
      <c r="BG257" s="2">
        <v>44316</v>
      </c>
      <c r="BH257" s="2">
        <v>161.066</v>
      </c>
      <c r="BI257" s="1">
        <v>44316</v>
      </c>
      <c r="BJ257" s="2">
        <v>144.36099999999999</v>
      </c>
      <c r="BK257" s="1">
        <v>44316</v>
      </c>
      <c r="BL257" s="2">
        <v>1048.1320000000001</v>
      </c>
      <c r="BM257" s="1">
        <v>45838</v>
      </c>
      <c r="BN257" s="2">
        <v>9588.9063000000006</v>
      </c>
      <c r="BO257" s="1">
        <v>45930</v>
      </c>
      <c r="BP257" s="2">
        <v>767.2</v>
      </c>
    </row>
    <row r="258" spans="1:68" x14ac:dyDescent="0.25">
      <c r="A258" s="1">
        <v>44347</v>
      </c>
      <c r="B258" s="2">
        <v>3057.2959999999998</v>
      </c>
      <c r="C258" s="1">
        <v>44347</v>
      </c>
      <c r="D258" s="2">
        <v>262.73899999999998</v>
      </c>
      <c r="E258" s="1">
        <v>44347</v>
      </c>
      <c r="F258" s="2">
        <v>220.55500000000001</v>
      </c>
      <c r="G258" s="1">
        <v>44347</v>
      </c>
      <c r="H258" s="2">
        <v>254.43281999999999</v>
      </c>
      <c r="I258" s="1">
        <v>44377</v>
      </c>
      <c r="J258" s="2">
        <v>157.6799</v>
      </c>
      <c r="K258" s="1">
        <v>44347</v>
      </c>
      <c r="L258" s="2">
        <v>166.74430000000001</v>
      </c>
      <c r="M258" s="1">
        <v>44347</v>
      </c>
      <c r="N258" s="2">
        <v>183.6609</v>
      </c>
      <c r="O258" s="1">
        <v>44377</v>
      </c>
      <c r="P258" s="2">
        <v>140.11879999999999</v>
      </c>
      <c r="Q258" s="1">
        <v>44347</v>
      </c>
      <c r="R258" s="2">
        <v>168.9059</v>
      </c>
      <c r="S258" s="1">
        <v>44347</v>
      </c>
      <c r="T258" s="2">
        <v>586.29200000000003</v>
      </c>
      <c r="U258" s="1">
        <v>44347</v>
      </c>
      <c r="V258" s="2">
        <v>404.83730000000003</v>
      </c>
      <c r="W258" s="1">
        <v>44347</v>
      </c>
      <c r="X258" s="2">
        <v>2306.5</v>
      </c>
      <c r="Y258" s="1">
        <v>44347</v>
      </c>
      <c r="Z258" s="2">
        <v>144.971</v>
      </c>
      <c r="AA258" s="1">
        <v>44712</v>
      </c>
      <c r="AB258" s="2">
        <v>503.99110000000002</v>
      </c>
      <c r="AC258" s="1">
        <v>44347</v>
      </c>
      <c r="AD258" s="2">
        <v>243.5352</v>
      </c>
      <c r="AE258" s="1">
        <v>44712</v>
      </c>
      <c r="AF258" s="2">
        <v>287.68959999999998</v>
      </c>
      <c r="AG258" s="1">
        <v>44712</v>
      </c>
      <c r="AH258" s="2">
        <v>355.5147</v>
      </c>
      <c r="AI258" s="1">
        <v>44712</v>
      </c>
      <c r="AJ258" s="2">
        <v>538.5634</v>
      </c>
      <c r="AK258" s="1">
        <v>44347</v>
      </c>
      <c r="AL258" s="2">
        <v>8920.35</v>
      </c>
      <c r="AM258" s="1">
        <v>44347</v>
      </c>
      <c r="AN258" s="2">
        <v>3548.02</v>
      </c>
      <c r="AO258" s="1">
        <v>44347</v>
      </c>
      <c r="AP258" s="2">
        <v>4390.55</v>
      </c>
      <c r="AQ258" s="1">
        <v>44347</v>
      </c>
      <c r="AR258" s="2">
        <v>3622.04</v>
      </c>
      <c r="AS258" s="1">
        <v>44347</v>
      </c>
      <c r="AT258" s="2">
        <v>11282.95</v>
      </c>
      <c r="AU258" s="1">
        <v>44347</v>
      </c>
      <c r="AV258" s="2">
        <v>8510.68</v>
      </c>
      <c r="AW258" s="1">
        <v>45807</v>
      </c>
      <c r="AX258" s="2">
        <v>7467.58</v>
      </c>
      <c r="AY258" s="2">
        <v>45747</v>
      </c>
      <c r="AZ258" s="2">
        <v>239.02</v>
      </c>
      <c r="BC258" s="1">
        <v>44347</v>
      </c>
      <c r="BD258" s="2">
        <v>0.79</v>
      </c>
      <c r="BE258" s="1">
        <v>44347</v>
      </c>
      <c r="BF258" s="2">
        <v>79.316999999999993</v>
      </c>
      <c r="BG258" s="2">
        <v>44347</v>
      </c>
      <c r="BH258" s="2">
        <v>157.65600000000001</v>
      </c>
      <c r="BI258" s="1">
        <v>44347</v>
      </c>
      <c r="BJ258" s="2">
        <v>148.13</v>
      </c>
      <c r="BK258" s="1">
        <v>44347</v>
      </c>
      <c r="BL258" s="2">
        <v>1057.5</v>
      </c>
      <c r="BM258" s="1">
        <v>45869</v>
      </c>
      <c r="BN258" s="2">
        <v>9788.3315999999995</v>
      </c>
      <c r="BO258" s="1">
        <v>45961</v>
      </c>
      <c r="BP258" s="2">
        <v>759.33</v>
      </c>
    </row>
    <row r="259" spans="1:68" x14ac:dyDescent="0.25">
      <c r="A259" s="1">
        <v>44377</v>
      </c>
      <c r="B259" s="2">
        <v>2993.2939999999999</v>
      </c>
      <c r="C259" s="1">
        <v>44377</v>
      </c>
      <c r="D259" s="2">
        <v>264.81720000000001</v>
      </c>
      <c r="E259" s="1">
        <v>44377</v>
      </c>
      <c r="F259" s="2">
        <v>222.15</v>
      </c>
      <c r="G259" s="1">
        <v>44377</v>
      </c>
      <c r="H259" s="2">
        <v>250.95756</v>
      </c>
      <c r="I259" s="1">
        <v>44407</v>
      </c>
      <c r="J259" s="2">
        <v>157.30359999999999</v>
      </c>
      <c r="K259" s="1">
        <v>44377</v>
      </c>
      <c r="L259" s="2">
        <v>167.80950000000001</v>
      </c>
      <c r="M259" s="1">
        <v>44377</v>
      </c>
      <c r="N259" s="2">
        <v>182.05850000000001</v>
      </c>
      <c r="O259" s="1">
        <v>44407</v>
      </c>
      <c r="P259" s="2">
        <v>140.477</v>
      </c>
      <c r="Q259" s="1">
        <v>44377</v>
      </c>
      <c r="R259" s="2">
        <v>165.6771</v>
      </c>
      <c r="S259" s="1">
        <v>44377</v>
      </c>
      <c r="T259" s="2">
        <v>589.15139999999997</v>
      </c>
      <c r="U259" s="1">
        <v>44377</v>
      </c>
      <c r="V259" s="2">
        <v>398.63900000000001</v>
      </c>
      <c r="W259" s="1">
        <v>44377</v>
      </c>
      <c r="X259" s="2">
        <v>2305.54</v>
      </c>
      <c r="Y259" s="1">
        <v>44377</v>
      </c>
      <c r="Z259" s="2">
        <v>121.74299999999999</v>
      </c>
      <c r="AA259" s="1">
        <v>44742</v>
      </c>
      <c r="AB259" s="2">
        <v>461.57429999999999</v>
      </c>
      <c r="AC259" s="1">
        <v>44377</v>
      </c>
      <c r="AD259" s="2">
        <v>248.47300000000001</v>
      </c>
      <c r="AE259" s="1">
        <v>44742</v>
      </c>
      <c r="AF259" s="2">
        <v>264.67509999999999</v>
      </c>
      <c r="AG259" s="1">
        <v>44742</v>
      </c>
      <c r="AH259" s="2">
        <v>328.44740000000002</v>
      </c>
      <c r="AI259" s="1">
        <v>44742</v>
      </c>
      <c r="AJ259" s="2">
        <v>522.66800000000001</v>
      </c>
      <c r="AK259" s="1">
        <v>44377</v>
      </c>
      <c r="AL259" s="2">
        <v>9053.33</v>
      </c>
      <c r="AM259" s="1">
        <v>44377</v>
      </c>
      <c r="AN259" s="2">
        <v>3677.99</v>
      </c>
      <c r="AO259" s="1">
        <v>44377</v>
      </c>
      <c r="AP259" s="2">
        <v>4434.1499999999996</v>
      </c>
      <c r="AQ259" s="1">
        <v>44377</v>
      </c>
      <c r="AR259" s="2">
        <v>3663.25</v>
      </c>
      <c r="AS259" s="1">
        <v>44377</v>
      </c>
      <c r="AT259" s="2">
        <v>11126.37</v>
      </c>
      <c r="AU259" s="1">
        <v>44377</v>
      </c>
      <c r="AV259" s="2">
        <v>8890.1200000000008</v>
      </c>
      <c r="AW259" s="1">
        <v>45838</v>
      </c>
      <c r="AX259" s="2">
        <v>7731.3</v>
      </c>
      <c r="AY259" s="2">
        <v>45777</v>
      </c>
      <c r="AZ259" s="2">
        <v>237.97</v>
      </c>
      <c r="BC259" s="1">
        <v>44377</v>
      </c>
      <c r="BD259" s="2">
        <v>0.77</v>
      </c>
      <c r="BE259" s="1">
        <v>44377</v>
      </c>
      <c r="BF259" s="2">
        <v>57.536999999999999</v>
      </c>
      <c r="BG259" s="2">
        <v>44377</v>
      </c>
      <c r="BH259" s="2">
        <v>142.23599999999999</v>
      </c>
      <c r="BI259" s="1">
        <v>44377</v>
      </c>
      <c r="BJ259" s="2">
        <v>119.309</v>
      </c>
      <c r="BK259" s="1">
        <v>44377</v>
      </c>
      <c r="BL259" s="2">
        <v>1046.33</v>
      </c>
      <c r="BM259" s="1">
        <v>45898</v>
      </c>
      <c r="BN259" s="2">
        <v>9956.9796999999999</v>
      </c>
      <c r="BO259" s="1">
        <v>45989</v>
      </c>
      <c r="BP259" s="2">
        <v>726.43</v>
      </c>
    </row>
    <row r="260" spans="1:68" x14ac:dyDescent="0.25">
      <c r="A260" s="1">
        <v>44407</v>
      </c>
      <c r="B260" s="2">
        <v>3010.8760000000002</v>
      </c>
      <c r="C260" s="1">
        <v>44407</v>
      </c>
      <c r="D260" s="2">
        <v>265.01690000000002</v>
      </c>
      <c r="E260" s="1">
        <v>44407</v>
      </c>
      <c r="F260" s="2">
        <v>219.55</v>
      </c>
      <c r="G260" s="1">
        <v>44407</v>
      </c>
      <c r="H260" s="2">
        <v>251.25151</v>
      </c>
      <c r="I260" s="1">
        <v>44439</v>
      </c>
      <c r="J260" s="2">
        <v>157.09200000000001</v>
      </c>
      <c r="K260" s="1">
        <v>44407</v>
      </c>
      <c r="L260" s="2">
        <v>168.41159999999999</v>
      </c>
      <c r="M260" s="1">
        <v>44407</v>
      </c>
      <c r="N260" s="2">
        <v>180.0814</v>
      </c>
      <c r="O260" s="1">
        <v>44439</v>
      </c>
      <c r="P260" s="2">
        <v>140.03059999999999</v>
      </c>
      <c r="Q260" s="1">
        <v>44407</v>
      </c>
      <c r="R260" s="2">
        <v>164.6927</v>
      </c>
      <c r="S260" s="1">
        <v>44407</v>
      </c>
      <c r="T260" s="2">
        <v>596.47370000000001</v>
      </c>
      <c r="U260" s="1">
        <v>44407</v>
      </c>
      <c r="V260" s="2">
        <v>414.72910000000002</v>
      </c>
      <c r="W260" s="1">
        <v>44407</v>
      </c>
      <c r="X260" s="2">
        <v>2319.9499999999998</v>
      </c>
      <c r="Y260" s="1">
        <v>44407</v>
      </c>
      <c r="Z260" s="2">
        <v>103.444</v>
      </c>
      <c r="AA260" s="1">
        <v>44771</v>
      </c>
      <c r="AB260" s="2">
        <v>465.42919999999998</v>
      </c>
      <c r="AC260" s="1">
        <v>44407</v>
      </c>
      <c r="AD260" s="2">
        <v>253.4264</v>
      </c>
      <c r="AE260" s="1">
        <v>44771</v>
      </c>
      <c r="AF260" s="2">
        <v>263.3494</v>
      </c>
      <c r="AG260" s="1">
        <v>44771</v>
      </c>
      <c r="AH260" s="2">
        <v>337.67430000000002</v>
      </c>
      <c r="AI260" s="1">
        <v>44771</v>
      </c>
      <c r="AJ260" s="2">
        <v>512.32230000000004</v>
      </c>
      <c r="AK260" s="1">
        <v>44407</v>
      </c>
      <c r="AL260" s="2">
        <v>9215.48</v>
      </c>
      <c r="AM260" s="1">
        <v>44407</v>
      </c>
      <c r="AN260" s="2">
        <v>3808.52</v>
      </c>
      <c r="AO260" s="1">
        <v>44407</v>
      </c>
      <c r="AP260" s="2">
        <v>4553.37</v>
      </c>
      <c r="AQ260" s="1">
        <v>44407</v>
      </c>
      <c r="AR260" s="2">
        <v>3723.55</v>
      </c>
      <c r="AS260" s="1">
        <v>44407</v>
      </c>
      <c r="AT260" s="2">
        <v>11193.98</v>
      </c>
      <c r="AU260" s="1">
        <v>44407</v>
      </c>
      <c r="AV260" s="2">
        <v>9151.67</v>
      </c>
      <c r="AW260" s="1">
        <v>45869</v>
      </c>
      <c r="AX260" s="2">
        <v>7723.96</v>
      </c>
      <c r="AY260" s="2">
        <v>45807</v>
      </c>
      <c r="AZ260" s="2">
        <v>246.04</v>
      </c>
      <c r="BC260" s="1">
        <v>44407</v>
      </c>
      <c r="BD260" s="2">
        <v>0.81</v>
      </c>
      <c r="BE260" s="1">
        <v>44407</v>
      </c>
      <c r="BF260" s="2">
        <v>53.030999999999999</v>
      </c>
      <c r="BG260" s="2">
        <v>44407</v>
      </c>
      <c r="BH260" s="2">
        <v>117.663</v>
      </c>
      <c r="BI260" s="1">
        <v>44407</v>
      </c>
      <c r="BJ260" s="2">
        <v>120.02500000000001</v>
      </c>
      <c r="BK260" s="1">
        <v>44407</v>
      </c>
      <c r="BL260" s="2">
        <v>1063.355</v>
      </c>
      <c r="BM260" s="1">
        <v>45930</v>
      </c>
      <c r="BN260" s="2">
        <v>10413.1978</v>
      </c>
      <c r="BO260" s="1">
        <v>46022</v>
      </c>
      <c r="BP260" s="2">
        <v>754.21</v>
      </c>
    </row>
    <row r="261" spans="1:68" x14ac:dyDescent="0.25">
      <c r="A261" s="1">
        <v>44439</v>
      </c>
      <c r="B261" s="2">
        <v>3024.2069999999999</v>
      </c>
      <c r="C261" s="1">
        <v>44439</v>
      </c>
      <c r="D261" s="2">
        <v>266.97399999999999</v>
      </c>
      <c r="E261" s="1">
        <v>44439</v>
      </c>
      <c r="F261" s="2">
        <v>222.137</v>
      </c>
      <c r="G261" s="1">
        <v>44439</v>
      </c>
      <c r="H261" s="2">
        <v>254.90479999999999</v>
      </c>
      <c r="I261" s="1">
        <v>44469</v>
      </c>
      <c r="J261" s="2">
        <v>157.0411</v>
      </c>
      <c r="K261" s="1">
        <v>44439</v>
      </c>
      <c r="L261" s="2">
        <v>169.78450000000001</v>
      </c>
      <c r="M261" s="1">
        <v>44439</v>
      </c>
      <c r="N261" s="2">
        <v>178.37860000000001</v>
      </c>
      <c r="O261" s="1">
        <v>44469</v>
      </c>
      <c r="P261" s="2">
        <v>141.1865</v>
      </c>
      <c r="Q261" s="1">
        <v>44439</v>
      </c>
      <c r="R261" s="2">
        <v>164.51310000000001</v>
      </c>
      <c r="S261" s="1">
        <v>44439</v>
      </c>
      <c r="T261" s="2">
        <v>595.27869999999996</v>
      </c>
      <c r="U261" s="1">
        <v>44439</v>
      </c>
      <c r="V261" s="2">
        <v>412.79320000000001</v>
      </c>
      <c r="W261" s="1">
        <v>44439</v>
      </c>
      <c r="X261" s="2">
        <v>2316.16</v>
      </c>
      <c r="Y261" s="1">
        <v>44439</v>
      </c>
      <c r="Z261" s="2">
        <v>109.748</v>
      </c>
      <c r="AA261" s="1">
        <v>44804</v>
      </c>
      <c r="AB261" s="2">
        <v>457.94720000000001</v>
      </c>
      <c r="AC261" s="1">
        <v>44439</v>
      </c>
      <c r="AD261" s="2">
        <v>252.84710000000001</v>
      </c>
      <c r="AE261" s="1">
        <v>44804</v>
      </c>
      <c r="AF261" s="2">
        <v>269.17939999999999</v>
      </c>
      <c r="AG261" s="1">
        <v>44804</v>
      </c>
      <c r="AH261" s="2">
        <v>329.24889999999999</v>
      </c>
      <c r="AI261" s="1">
        <v>44804</v>
      </c>
      <c r="AJ261" s="2">
        <v>487.66210000000001</v>
      </c>
      <c r="AK261" s="1">
        <v>44439</v>
      </c>
      <c r="AL261" s="2">
        <v>9444.84</v>
      </c>
      <c r="AM261" s="1">
        <v>44439</v>
      </c>
      <c r="AN261" s="2">
        <v>3932.61</v>
      </c>
      <c r="AO261" s="1">
        <v>44439</v>
      </c>
      <c r="AP261" s="2">
        <v>4635.08</v>
      </c>
      <c r="AQ261" s="1">
        <v>44439</v>
      </c>
      <c r="AR261" s="2">
        <v>3841.96</v>
      </c>
      <c r="AS261" s="1">
        <v>44439</v>
      </c>
      <c r="AT261" s="2">
        <v>11376.12</v>
      </c>
      <c r="AU261" s="1">
        <v>44439</v>
      </c>
      <c r="AV261" s="2">
        <v>9454.1</v>
      </c>
      <c r="AW261" s="1">
        <v>45898</v>
      </c>
      <c r="AX261" s="2">
        <v>7923.75</v>
      </c>
      <c r="AY261" s="2">
        <v>45838</v>
      </c>
      <c r="AZ261" s="2">
        <v>255.38</v>
      </c>
      <c r="BC261" s="1">
        <v>44439</v>
      </c>
      <c r="BD261" s="2">
        <v>0.82</v>
      </c>
      <c r="BE261" s="1">
        <v>44439</v>
      </c>
      <c r="BF261" s="2">
        <v>53.000999999999998</v>
      </c>
      <c r="BG261" s="2">
        <v>44439</v>
      </c>
      <c r="BH261" s="2">
        <v>126.313</v>
      </c>
      <c r="BI261" s="1">
        <v>44439</v>
      </c>
      <c r="BJ261" s="2">
        <v>115.366</v>
      </c>
      <c r="BK261" s="1">
        <v>44439</v>
      </c>
      <c r="BL261" s="2">
        <v>1057.252</v>
      </c>
      <c r="BM261" s="1">
        <v>45961</v>
      </c>
      <c r="BN261" s="2">
        <v>10851.5167</v>
      </c>
      <c r="BO261" s="1">
        <v>46052</v>
      </c>
      <c r="BP261" s="2">
        <v>740.37</v>
      </c>
    </row>
    <row r="262" spans="1:68" x14ac:dyDescent="0.25">
      <c r="A262" s="1">
        <v>44469</v>
      </c>
      <c r="B262" s="2">
        <v>3080.06</v>
      </c>
      <c r="C262" s="1">
        <v>44469</v>
      </c>
      <c r="D262" s="2">
        <v>266.84859999999998</v>
      </c>
      <c r="E262" s="1">
        <v>44469</v>
      </c>
      <c r="F262" s="2">
        <v>224.161</v>
      </c>
      <c r="G262" s="1">
        <v>44469</v>
      </c>
      <c r="H262" s="2">
        <v>246.58545000000001</v>
      </c>
      <c r="I262" s="1">
        <v>44498</v>
      </c>
      <c r="J262" s="2">
        <v>158.12729999999999</v>
      </c>
      <c r="K262" s="1">
        <v>44469</v>
      </c>
      <c r="L262" s="2">
        <v>167.90520000000001</v>
      </c>
      <c r="M262" s="1">
        <v>44469</v>
      </c>
      <c r="N262" s="2">
        <v>178.03530000000001</v>
      </c>
      <c r="O262" s="1">
        <v>44498</v>
      </c>
      <c r="P262" s="2">
        <v>141.8066</v>
      </c>
      <c r="Q262" s="1">
        <v>44469</v>
      </c>
      <c r="R262" s="2">
        <v>164.5574</v>
      </c>
      <c r="S262" s="1">
        <v>44469</v>
      </c>
      <c r="T262" s="2">
        <v>589.65859999999998</v>
      </c>
      <c r="U262" s="1">
        <v>44469</v>
      </c>
      <c r="V262" s="2">
        <v>401.07260000000002</v>
      </c>
      <c r="W262" s="1">
        <v>44469</v>
      </c>
      <c r="X262" s="2">
        <v>2307.8000000000002</v>
      </c>
      <c r="Y262" s="1">
        <v>44469</v>
      </c>
      <c r="Z262" s="2">
        <v>120.78700000000001</v>
      </c>
      <c r="AA262" s="1">
        <v>44834</v>
      </c>
      <c r="AB262" s="2">
        <v>427.81799999999998</v>
      </c>
      <c r="AC262" s="1">
        <v>44469</v>
      </c>
      <c r="AD262" s="2">
        <v>264.38619999999997</v>
      </c>
      <c r="AE262" s="1">
        <v>44834</v>
      </c>
      <c r="AF262" s="2">
        <v>260.84949999999998</v>
      </c>
      <c r="AG262" s="1">
        <v>44834</v>
      </c>
      <c r="AH262" s="2">
        <v>289.10680000000002</v>
      </c>
      <c r="AI262" s="1">
        <v>44834</v>
      </c>
      <c r="AJ262" s="2">
        <v>483.2758</v>
      </c>
      <c r="AK262" s="1">
        <v>44469</v>
      </c>
      <c r="AL262" s="2">
        <v>9052.68</v>
      </c>
      <c r="AM262" s="1">
        <v>44469</v>
      </c>
      <c r="AN262" s="2">
        <v>3680.29</v>
      </c>
      <c r="AO262" s="1">
        <v>44469</v>
      </c>
      <c r="AP262" s="2">
        <v>4425.2299999999996</v>
      </c>
      <c r="AQ262" s="1">
        <v>44469</v>
      </c>
      <c r="AR262" s="2">
        <v>3699.38</v>
      </c>
      <c r="AS262" s="1">
        <v>44469</v>
      </c>
      <c r="AT262" s="2">
        <v>11033.09</v>
      </c>
      <c r="AU262" s="1">
        <v>44469</v>
      </c>
      <c r="AV262" s="2">
        <v>8962.26</v>
      </c>
      <c r="AW262" s="1">
        <v>45930</v>
      </c>
      <c r="AX262" s="2">
        <v>8102.99</v>
      </c>
      <c r="AY262" s="2">
        <v>45869</v>
      </c>
      <c r="AZ262" s="2">
        <v>266.41000000000003</v>
      </c>
      <c r="BC262" s="1">
        <v>44469</v>
      </c>
      <c r="BD262" s="2">
        <v>0.8</v>
      </c>
      <c r="BE262" s="1">
        <v>44469</v>
      </c>
      <c r="BF262" s="2">
        <v>51.920999999999999</v>
      </c>
      <c r="BG262" s="2">
        <v>44469</v>
      </c>
      <c r="BH262" s="2">
        <v>144.67500000000001</v>
      </c>
      <c r="BI262" s="1">
        <v>44469</v>
      </c>
      <c r="BJ262" s="2">
        <v>107.675</v>
      </c>
      <c r="BK262" s="1">
        <v>44469</v>
      </c>
      <c r="BL262" s="2">
        <v>1033.375</v>
      </c>
      <c r="BM262" s="1">
        <v>45989</v>
      </c>
      <c r="BN262" s="2">
        <v>10693.436799999999</v>
      </c>
      <c r="BO262" s="1">
        <v>46080</v>
      </c>
      <c r="BP262" s="2">
        <v>731.75</v>
      </c>
    </row>
    <row r="263" spans="1:68" x14ac:dyDescent="0.25">
      <c r="A263" s="1">
        <v>44498</v>
      </c>
      <c r="B263" s="2">
        <v>3176.0349999999999</v>
      </c>
      <c r="C263" s="1">
        <v>44498</v>
      </c>
      <c r="D263" s="2">
        <v>267.4348</v>
      </c>
      <c r="E263" s="1">
        <v>44498</v>
      </c>
      <c r="F263" s="2">
        <v>230.46</v>
      </c>
      <c r="G263" s="1">
        <v>44498</v>
      </c>
      <c r="H263" s="2">
        <v>243.74767</v>
      </c>
      <c r="I263" s="1">
        <v>44530</v>
      </c>
      <c r="J263" s="2">
        <v>156.88929999999999</v>
      </c>
      <c r="K263" s="1">
        <v>44498</v>
      </c>
      <c r="L263" s="2">
        <v>170.2595</v>
      </c>
      <c r="M263" s="1">
        <v>44498</v>
      </c>
      <c r="N263" s="2">
        <v>182.09520000000001</v>
      </c>
      <c r="O263" s="1">
        <v>44530</v>
      </c>
      <c r="P263" s="2">
        <v>139.3218</v>
      </c>
      <c r="Q263" s="1">
        <v>44498</v>
      </c>
      <c r="R263" s="2">
        <v>163.7004</v>
      </c>
      <c r="S263" s="1">
        <v>44498</v>
      </c>
      <c r="T263" s="2">
        <v>588.11659999999995</v>
      </c>
      <c r="U263" s="1">
        <v>44498</v>
      </c>
      <c r="V263" s="2">
        <v>411.23719999999997</v>
      </c>
      <c r="W263" s="1">
        <v>44498</v>
      </c>
      <c r="X263" s="2">
        <v>2303.41</v>
      </c>
      <c r="Y263" s="1">
        <v>44498</v>
      </c>
      <c r="Z263" s="2">
        <v>105.11799999999999</v>
      </c>
      <c r="AA263" s="1">
        <v>44865</v>
      </c>
      <c r="AB263" s="2">
        <v>441.46420000000001</v>
      </c>
      <c r="AC263" s="1">
        <v>44498</v>
      </c>
      <c r="AD263" s="2">
        <v>270.81849999999997</v>
      </c>
      <c r="AE263" s="1">
        <v>44865</v>
      </c>
      <c r="AF263" s="2">
        <v>265.45749999999998</v>
      </c>
      <c r="AG263" s="1">
        <v>44865</v>
      </c>
      <c r="AH263" s="2">
        <v>313.31139999999999</v>
      </c>
      <c r="AI263" s="1">
        <v>44865</v>
      </c>
      <c r="AJ263" s="2">
        <v>478.64609999999999</v>
      </c>
      <c r="AK263" s="1">
        <v>44498</v>
      </c>
      <c r="AL263" s="2">
        <v>9565.43</v>
      </c>
      <c r="AM263" s="1">
        <v>44498</v>
      </c>
      <c r="AN263" s="2">
        <v>3928.8</v>
      </c>
      <c r="AO263" s="1">
        <v>44498</v>
      </c>
      <c r="AP263" s="2">
        <v>4561.7700000000004</v>
      </c>
      <c r="AQ263" s="1">
        <v>44498</v>
      </c>
      <c r="AR263" s="2">
        <v>3977.74</v>
      </c>
      <c r="AS263" s="1">
        <v>44498</v>
      </c>
      <c r="AT263" s="2">
        <v>11534.07</v>
      </c>
      <c r="AU263" s="1">
        <v>44498</v>
      </c>
      <c r="AV263" s="2">
        <v>9564.93</v>
      </c>
      <c r="AW263" s="1">
        <v>45961</v>
      </c>
      <c r="AX263" s="2">
        <v>8476.31</v>
      </c>
      <c r="AY263" s="2">
        <v>45898</v>
      </c>
      <c r="AZ263" s="2">
        <v>266.93</v>
      </c>
      <c r="BC263" s="1">
        <v>44498</v>
      </c>
      <c r="BD263" s="2">
        <v>0.82</v>
      </c>
      <c r="BE263" s="1">
        <v>44498</v>
      </c>
      <c r="BF263" s="2">
        <v>36.576999999999998</v>
      </c>
      <c r="BG263" s="2">
        <v>44498</v>
      </c>
      <c r="BH263" s="2">
        <v>149.12899999999999</v>
      </c>
      <c r="BI263" s="1">
        <v>44498</v>
      </c>
      <c r="BJ263" s="2">
        <v>74.641999999999996</v>
      </c>
      <c r="BK263" s="1">
        <v>44498</v>
      </c>
      <c r="BL263" s="2">
        <v>1029.0930000000001</v>
      </c>
      <c r="BM263" s="1">
        <v>46022</v>
      </c>
      <c r="BN263" s="2">
        <v>10679.485199999999</v>
      </c>
      <c r="BO263" s="1"/>
    </row>
    <row r="264" spans="1:68" x14ac:dyDescent="0.25">
      <c r="A264" s="1">
        <v>44530</v>
      </c>
      <c r="B264" s="2">
        <v>3025.7840000000001</v>
      </c>
      <c r="C264" s="1">
        <v>44530</v>
      </c>
      <c r="D264" s="2">
        <v>257.00130000000001</v>
      </c>
      <c r="E264" s="1">
        <v>44530</v>
      </c>
      <c r="F264" s="2">
        <v>222.297</v>
      </c>
      <c r="G264" s="1">
        <v>44530</v>
      </c>
      <c r="H264" s="2">
        <v>230.86100999999999</v>
      </c>
      <c r="I264" s="1">
        <v>44561</v>
      </c>
      <c r="J264" s="2">
        <v>156.59049999999999</v>
      </c>
      <c r="K264" s="1">
        <v>44530</v>
      </c>
      <c r="L264" s="2">
        <v>168.13560000000001</v>
      </c>
      <c r="M264" s="1">
        <v>44530</v>
      </c>
      <c r="N264" s="2">
        <v>177.328</v>
      </c>
      <c r="O264" s="1">
        <v>44561</v>
      </c>
      <c r="P264" s="2">
        <v>139.63339999999999</v>
      </c>
      <c r="Q264" s="1">
        <v>44530</v>
      </c>
      <c r="R264" s="2">
        <v>166.18440000000001</v>
      </c>
      <c r="S264" s="1">
        <v>44530</v>
      </c>
      <c r="T264" s="2">
        <v>592.31179999999995</v>
      </c>
      <c r="U264" s="1">
        <v>44530</v>
      </c>
      <c r="V264" s="2">
        <v>414.76569999999998</v>
      </c>
      <c r="W264" s="1">
        <v>44530</v>
      </c>
      <c r="X264" s="2">
        <v>2301.27</v>
      </c>
      <c r="Y264" s="1">
        <v>44530</v>
      </c>
      <c r="Z264" s="2">
        <v>87.337999999999994</v>
      </c>
      <c r="AA264" s="1">
        <v>44895</v>
      </c>
      <c r="AB264" s="2">
        <v>457.91980000000001</v>
      </c>
      <c r="AC264" s="1">
        <v>44530</v>
      </c>
      <c r="AD264" s="2">
        <v>252.44200000000001</v>
      </c>
      <c r="AE264" s="1">
        <v>44895</v>
      </c>
      <c r="AF264" s="2">
        <v>267.40350000000001</v>
      </c>
      <c r="AG264" s="1">
        <v>44895</v>
      </c>
      <c r="AH264" s="2">
        <v>312.2079</v>
      </c>
      <c r="AI264" s="1">
        <v>44895</v>
      </c>
      <c r="AJ264" s="2">
        <v>517.98919999999998</v>
      </c>
      <c r="AK264" s="1">
        <v>44530</v>
      </c>
      <c r="AL264" s="2">
        <v>9355.82</v>
      </c>
      <c r="AM264" s="1">
        <v>44530</v>
      </c>
      <c r="AN264" s="2">
        <v>3906.65</v>
      </c>
      <c r="AO264" s="1">
        <v>44530</v>
      </c>
      <c r="AP264" s="2">
        <v>4470.2700000000004</v>
      </c>
      <c r="AQ264" s="1">
        <v>44530</v>
      </c>
      <c r="AR264" s="2">
        <v>3855.9</v>
      </c>
      <c r="AS264" s="1">
        <v>44530</v>
      </c>
      <c r="AT264" s="2">
        <v>11097.02</v>
      </c>
      <c r="AU264" s="1">
        <v>44530</v>
      </c>
      <c r="AV264" s="2">
        <v>9496.5400000000009</v>
      </c>
      <c r="AW264" s="1">
        <v>45989</v>
      </c>
      <c r="AX264" s="2">
        <v>8486.42</v>
      </c>
      <c r="AY264" s="2">
        <v>45930</v>
      </c>
      <c r="AZ264" s="2">
        <v>257.54000000000002</v>
      </c>
      <c r="BC264" s="1">
        <v>44530</v>
      </c>
      <c r="BD264" s="2">
        <v>0.94</v>
      </c>
      <c r="BE264" s="1">
        <v>44530</v>
      </c>
      <c r="BF264" s="2">
        <v>28.143999999999998</v>
      </c>
      <c r="BG264" s="2">
        <v>44530</v>
      </c>
      <c r="BH264" s="2">
        <v>138.852</v>
      </c>
      <c r="BI264" s="1">
        <v>44530</v>
      </c>
      <c r="BJ264" s="2">
        <v>62.893999999999998</v>
      </c>
      <c r="BK264" s="1">
        <v>44530</v>
      </c>
      <c r="BL264" s="2">
        <v>1028.3620000000001</v>
      </c>
      <c r="BM264" s="1">
        <v>46052</v>
      </c>
      <c r="BN264" s="2">
        <v>10648.7595</v>
      </c>
      <c r="BO264" s="1"/>
    </row>
    <row r="265" spans="1:68" x14ac:dyDescent="0.25">
      <c r="A265" s="1">
        <v>44561</v>
      </c>
      <c r="B265" s="2">
        <v>3040.5079999999998</v>
      </c>
      <c r="C265" s="1">
        <v>44561</v>
      </c>
      <c r="D265" s="2">
        <v>258.75740000000002</v>
      </c>
      <c r="E265" s="1">
        <v>44561</v>
      </c>
      <c r="F265" s="2">
        <v>224.47200000000001</v>
      </c>
      <c r="G265" s="1">
        <v>44561</v>
      </c>
      <c r="H265" s="2">
        <v>237.08345</v>
      </c>
      <c r="I265" s="1">
        <v>44592</v>
      </c>
      <c r="J265" s="2">
        <v>156.63839999999999</v>
      </c>
      <c r="K265" s="1">
        <v>44561</v>
      </c>
      <c r="L265" s="2">
        <v>170.5822</v>
      </c>
      <c r="M265" s="1">
        <v>44561</v>
      </c>
      <c r="N265" s="2">
        <v>176.39089999999999</v>
      </c>
      <c r="O265" s="1">
        <v>44592</v>
      </c>
      <c r="P265" s="2">
        <v>140.79419999999999</v>
      </c>
      <c r="Q265" s="1">
        <v>44561</v>
      </c>
      <c r="R265" s="2">
        <v>163.8272</v>
      </c>
      <c r="S265" s="1">
        <v>44561</v>
      </c>
      <c r="T265" s="2">
        <v>589.90959999999995</v>
      </c>
      <c r="U265" s="1">
        <v>44561</v>
      </c>
      <c r="V265" s="2">
        <v>411.9461</v>
      </c>
      <c r="W265" s="1">
        <v>44561</v>
      </c>
      <c r="X265" s="2">
        <v>2299.1999999999998</v>
      </c>
      <c r="Y265" s="1">
        <v>44561</v>
      </c>
      <c r="Z265" s="2">
        <v>77.396000000000001</v>
      </c>
      <c r="AA265" s="1">
        <v>44925</v>
      </c>
      <c r="AB265" s="2">
        <v>460.5548</v>
      </c>
      <c r="AC265" s="1">
        <v>44561</v>
      </c>
      <c r="AD265" s="2">
        <v>261.59710000000001</v>
      </c>
      <c r="AE265" s="1">
        <v>44925</v>
      </c>
      <c r="AF265" s="2">
        <v>271.79750000000001</v>
      </c>
      <c r="AG265" s="1">
        <v>44925</v>
      </c>
      <c r="AH265" s="2">
        <v>298.81729999999999</v>
      </c>
      <c r="AI265" s="1">
        <v>44925</v>
      </c>
      <c r="AJ265" s="2">
        <v>547.48670000000004</v>
      </c>
      <c r="AK265" s="1">
        <v>44561</v>
      </c>
      <c r="AL265" s="2">
        <v>9755.69</v>
      </c>
      <c r="AM265" s="1">
        <v>44561</v>
      </c>
      <c r="AN265" s="2">
        <v>4057.64</v>
      </c>
      <c r="AO265" s="1">
        <v>44561</v>
      </c>
      <c r="AP265" s="2">
        <v>4730.09</v>
      </c>
      <c r="AQ265" s="1">
        <v>44561</v>
      </c>
      <c r="AR265" s="2">
        <v>3912.64</v>
      </c>
      <c r="AS265" s="1">
        <v>44561</v>
      </c>
      <c r="AT265" s="2">
        <v>11826.6</v>
      </c>
      <c r="AU265" s="1">
        <v>44561</v>
      </c>
      <c r="AV265" s="2">
        <v>9693.4699999999993</v>
      </c>
      <c r="AW265" s="1">
        <v>46022</v>
      </c>
      <c r="AX265" s="2">
        <v>8374.2000000000007</v>
      </c>
      <c r="AY265" s="2">
        <v>45961</v>
      </c>
      <c r="AZ265" s="2">
        <v>248.05</v>
      </c>
      <c r="BC265" s="1">
        <v>44561</v>
      </c>
      <c r="BD265" s="2">
        <v>0.87</v>
      </c>
      <c r="BE265" s="1">
        <v>44561</v>
      </c>
      <c r="BF265" s="2">
        <v>24.552</v>
      </c>
      <c r="BG265" s="2">
        <v>44561</v>
      </c>
      <c r="BH265" s="2">
        <v>145.179</v>
      </c>
      <c r="BI265" s="1">
        <v>44561</v>
      </c>
      <c r="BJ265" s="2">
        <v>63.860999999999997</v>
      </c>
      <c r="BK265" s="1">
        <v>44561</v>
      </c>
      <c r="BL265" s="2">
        <v>1021.966</v>
      </c>
      <c r="BM265" s="1">
        <v>46080</v>
      </c>
      <c r="BN265" s="2">
        <v>10474.368200000001</v>
      </c>
      <c r="BO265" s="1"/>
    </row>
    <row r="266" spans="1:68" x14ac:dyDescent="0.25">
      <c r="A266" s="1">
        <v>44592</v>
      </c>
      <c r="B266" s="2">
        <v>3146.8220000000001</v>
      </c>
      <c r="C266" s="1">
        <v>44592</v>
      </c>
      <c r="D266" s="2">
        <v>262.54349999999999</v>
      </c>
      <c r="E266" s="1">
        <v>44592</v>
      </c>
      <c r="F266" s="2">
        <v>224.12899999999999</v>
      </c>
      <c r="G266" s="1">
        <v>44592</v>
      </c>
      <c r="H266" s="2">
        <v>240.56943000000001</v>
      </c>
      <c r="I266" s="1">
        <v>44620</v>
      </c>
      <c r="J266" s="2">
        <v>157.50550000000001</v>
      </c>
      <c r="K266" s="1">
        <v>44592</v>
      </c>
      <c r="L266" s="2">
        <v>167.25579999999999</v>
      </c>
      <c r="M266" s="1">
        <v>44592</v>
      </c>
      <c r="N266" s="2">
        <v>178.32929999999999</v>
      </c>
      <c r="O266" s="1">
        <v>44620</v>
      </c>
      <c r="P266" s="2">
        <v>143.47499999999999</v>
      </c>
      <c r="Q266" s="1">
        <v>44592</v>
      </c>
      <c r="R266" s="2">
        <v>163.82740000000001</v>
      </c>
      <c r="S266" s="1">
        <v>44592</v>
      </c>
      <c r="T266" s="2">
        <v>580.6413</v>
      </c>
      <c r="U266" s="1">
        <v>44592</v>
      </c>
      <c r="V266" s="2">
        <v>401.12079999999997</v>
      </c>
      <c r="W266" s="1">
        <v>44592</v>
      </c>
      <c r="X266" s="2">
        <v>2265.1</v>
      </c>
      <c r="Y266" s="1">
        <v>44592</v>
      </c>
      <c r="Z266" s="2">
        <v>59.603000000000002</v>
      </c>
      <c r="AA266" s="1">
        <v>44957</v>
      </c>
      <c r="AB266" s="2">
        <v>468.24040000000002</v>
      </c>
      <c r="AC266" s="1">
        <v>44592</v>
      </c>
      <c r="AD266" s="2">
        <v>282.83940000000001</v>
      </c>
      <c r="AE266" s="1">
        <v>44957</v>
      </c>
      <c r="AF266" s="2">
        <v>274.04450000000003</v>
      </c>
      <c r="AG266" s="1">
        <v>44957</v>
      </c>
      <c r="AH266" s="2">
        <v>291.7192</v>
      </c>
      <c r="AI266" s="1">
        <v>44957</v>
      </c>
      <c r="AJ266" s="2">
        <v>572.23739999999998</v>
      </c>
      <c r="AK266" s="1">
        <v>44592</v>
      </c>
      <c r="AL266" s="2">
        <v>9239.51</v>
      </c>
      <c r="AM266" s="1">
        <v>44592</v>
      </c>
      <c r="AN266" s="2">
        <v>3732.36</v>
      </c>
      <c r="AO266" s="1">
        <v>44592</v>
      </c>
      <c r="AP266" s="2">
        <v>4468.6899999999996</v>
      </c>
      <c r="AQ266" s="1">
        <v>44592</v>
      </c>
      <c r="AR266" s="2">
        <v>3609.98</v>
      </c>
      <c r="AS266" s="1">
        <v>44592</v>
      </c>
      <c r="AT266" s="2">
        <v>11677.35</v>
      </c>
      <c r="AU266" s="1">
        <v>44592</v>
      </c>
      <c r="AV266" s="2">
        <v>8791.23</v>
      </c>
      <c r="AW266" s="1">
        <v>46052</v>
      </c>
      <c r="AX266" s="2">
        <v>8711.4599999999991</v>
      </c>
      <c r="AY266" s="2">
        <v>45989</v>
      </c>
      <c r="AZ266" s="2">
        <v>245</v>
      </c>
      <c r="BC266" s="1">
        <v>44592</v>
      </c>
      <c r="BD266" s="2">
        <v>0.99</v>
      </c>
      <c r="BE266" s="1">
        <v>44592</v>
      </c>
      <c r="BF266" s="2">
        <v>16.561</v>
      </c>
      <c r="BG266" s="2">
        <v>44592</v>
      </c>
      <c r="BH266" s="2">
        <v>158.39500000000001</v>
      </c>
      <c r="BI266" s="1">
        <v>44592</v>
      </c>
      <c r="BJ266" s="2">
        <v>49.643999999999998</v>
      </c>
      <c r="BK266" s="1">
        <v>44592</v>
      </c>
      <c r="BL266" s="2">
        <v>1000.431</v>
      </c>
      <c r="BM266" s="1"/>
      <c r="BO266" s="1"/>
    </row>
    <row r="267" spans="1:68" x14ac:dyDescent="0.25">
      <c r="A267" s="1">
        <v>44620</v>
      </c>
      <c r="B267" s="2">
        <v>3262.6709999999998</v>
      </c>
      <c r="C267" s="1">
        <v>44620</v>
      </c>
      <c r="D267" s="2">
        <v>258.57249999999999</v>
      </c>
      <c r="E267" s="1">
        <v>44620</v>
      </c>
      <c r="F267" s="2">
        <v>226.06700000000001</v>
      </c>
      <c r="G267" s="1">
        <v>44620</v>
      </c>
      <c r="H267" s="2">
        <v>239.21857</v>
      </c>
      <c r="I267" s="1">
        <v>44651</v>
      </c>
      <c r="J267" s="2">
        <v>159.24709999999999</v>
      </c>
      <c r="K267" s="1">
        <v>44620</v>
      </c>
      <c r="L267" s="2">
        <v>166.744</v>
      </c>
      <c r="M267" s="1">
        <v>44620</v>
      </c>
      <c r="N267" s="2">
        <v>179.98429999999999</v>
      </c>
      <c r="O267" s="1">
        <v>44651</v>
      </c>
      <c r="P267" s="2">
        <v>146.78720000000001</v>
      </c>
      <c r="Q267" s="1">
        <v>44620</v>
      </c>
      <c r="R267" s="2">
        <v>163.2758</v>
      </c>
      <c r="S267" s="1">
        <v>44620</v>
      </c>
      <c r="T267" s="2">
        <v>572.91790000000003</v>
      </c>
      <c r="U267" s="1">
        <v>44620</v>
      </c>
      <c r="V267" s="2">
        <v>402.3442</v>
      </c>
      <c r="W267" s="1">
        <v>44620</v>
      </c>
      <c r="X267" s="2">
        <v>2243.1999999999998</v>
      </c>
      <c r="Y267" s="1">
        <v>44620</v>
      </c>
      <c r="Z267" s="2">
        <v>38.872999999999998</v>
      </c>
      <c r="AA267" s="1">
        <v>44985</v>
      </c>
      <c r="AB267" s="2">
        <v>447.80889999999999</v>
      </c>
      <c r="AC267" s="1">
        <v>44620</v>
      </c>
      <c r="AD267" s="2">
        <v>299.1771</v>
      </c>
      <c r="AE267" s="1">
        <v>44985</v>
      </c>
      <c r="AF267" s="2">
        <v>268.81959999999998</v>
      </c>
      <c r="AG267" s="1">
        <v>44985</v>
      </c>
      <c r="AH267" s="2">
        <v>283.66719999999998</v>
      </c>
      <c r="AI267" s="1">
        <v>44985</v>
      </c>
      <c r="AJ267" s="2">
        <v>533.87950000000001</v>
      </c>
      <c r="AK267" s="1">
        <v>44620</v>
      </c>
      <c r="AL267" s="2">
        <v>9005.83</v>
      </c>
      <c r="AM267" s="1">
        <v>44620</v>
      </c>
      <c r="AN267" s="2">
        <v>3590.42</v>
      </c>
      <c r="AO267" s="1">
        <v>44620</v>
      </c>
      <c r="AP267" s="2">
        <v>4390.12</v>
      </c>
      <c r="AQ267" s="1">
        <v>44620</v>
      </c>
      <c r="AR267" s="2">
        <v>3532.05</v>
      </c>
      <c r="AS267" s="1">
        <v>44620</v>
      </c>
      <c r="AT267" s="2">
        <v>11486.74</v>
      </c>
      <c r="AU267" s="1">
        <v>44620</v>
      </c>
      <c r="AV267" s="2">
        <v>8483.36</v>
      </c>
      <c r="AW267" s="1">
        <v>46080</v>
      </c>
      <c r="AX267" s="2">
        <v>9160.5</v>
      </c>
      <c r="AY267" s="2">
        <v>46022</v>
      </c>
      <c r="AZ267" s="2">
        <v>251.12</v>
      </c>
      <c r="BC267" s="1">
        <v>44620</v>
      </c>
      <c r="BD267" s="2">
        <v>1.1399999999999999</v>
      </c>
      <c r="BE267" s="1">
        <v>44620</v>
      </c>
      <c r="BF267" s="2">
        <v>10.564</v>
      </c>
      <c r="BG267" s="2">
        <v>44620</v>
      </c>
      <c r="BH267" s="2">
        <v>150.286</v>
      </c>
      <c r="BI267" s="1">
        <v>44620</v>
      </c>
      <c r="BJ267" s="2">
        <v>44.171999999999997</v>
      </c>
      <c r="BK267" s="1">
        <v>44620</v>
      </c>
      <c r="BL267" s="2">
        <v>989.81690000000003</v>
      </c>
      <c r="BM267" s="1"/>
      <c r="BO267" s="1"/>
    </row>
    <row r="268" spans="1:68" x14ac:dyDescent="0.25">
      <c r="A268" s="1">
        <v>44651</v>
      </c>
      <c r="B268" s="2">
        <v>3578.12</v>
      </c>
      <c r="C268" s="1">
        <v>44651</v>
      </c>
      <c r="D268" s="2">
        <v>270.48469999999998</v>
      </c>
      <c r="E268" s="1">
        <v>44651</v>
      </c>
      <c r="F268" s="2">
        <v>229.88800000000001</v>
      </c>
      <c r="G268" s="1">
        <v>44651</v>
      </c>
      <c r="H268" s="2">
        <v>244.84207000000001</v>
      </c>
      <c r="I268" s="1">
        <v>44680</v>
      </c>
      <c r="J268" s="2">
        <v>161.4119</v>
      </c>
      <c r="K268" s="1">
        <v>44651</v>
      </c>
      <c r="L268" s="2">
        <v>165.42099999999999</v>
      </c>
      <c r="M268" s="1">
        <v>44651</v>
      </c>
      <c r="N268" s="2">
        <v>185.6224</v>
      </c>
      <c r="O268" s="1">
        <v>44680</v>
      </c>
      <c r="P268" s="2">
        <v>147.37010000000001</v>
      </c>
      <c r="Q268" s="1">
        <v>44651</v>
      </c>
      <c r="R268" s="2">
        <v>163.24209999999999</v>
      </c>
      <c r="S268" s="1">
        <v>44651</v>
      </c>
      <c r="T268" s="2">
        <v>560.56790000000001</v>
      </c>
      <c r="U268" s="1">
        <v>44651</v>
      </c>
      <c r="V268" s="2">
        <v>393.72649999999999</v>
      </c>
      <c r="W268" s="1">
        <v>44651</v>
      </c>
      <c r="X268" s="2">
        <v>2184.86</v>
      </c>
      <c r="Y268" s="1">
        <v>44651</v>
      </c>
      <c r="Z268" s="2">
        <v>-6.0999999999999999E-2</v>
      </c>
      <c r="AA268" s="1">
        <v>45016</v>
      </c>
      <c r="AB268" s="2">
        <v>450.15629999999999</v>
      </c>
      <c r="AC268" s="1">
        <v>44651</v>
      </c>
      <c r="AD268" s="2">
        <v>325.79039999999998</v>
      </c>
      <c r="AE268" s="1">
        <v>45016</v>
      </c>
      <c r="AF268" s="2">
        <v>268.90320000000003</v>
      </c>
      <c r="AG268" s="1">
        <v>45016</v>
      </c>
      <c r="AH268" s="2">
        <v>273.30970000000002</v>
      </c>
      <c r="AI268" s="1">
        <v>45016</v>
      </c>
      <c r="AJ268" s="2">
        <v>582.33540000000005</v>
      </c>
      <c r="AK268" s="1">
        <v>44651</v>
      </c>
      <c r="AL268" s="2">
        <v>9252.98</v>
      </c>
      <c r="AM268" s="1">
        <v>44651</v>
      </c>
      <c r="AN268" s="2">
        <v>3712.53</v>
      </c>
      <c r="AO268" s="1">
        <v>44651</v>
      </c>
      <c r="AP268" s="2">
        <v>4590.6000000000004</v>
      </c>
      <c r="AQ268" s="1">
        <v>44651</v>
      </c>
      <c r="AR268" s="2">
        <v>3689.23</v>
      </c>
      <c r="AS268" s="1">
        <v>44651</v>
      </c>
      <c r="AT268" s="2">
        <v>11749.57</v>
      </c>
      <c r="AU268" s="2">
        <v>44651</v>
      </c>
      <c r="AV268" s="2">
        <v>8758.6</v>
      </c>
      <c r="AW268" s="1"/>
      <c r="AY268" s="2">
        <v>46052</v>
      </c>
      <c r="AZ268" s="2">
        <v>248.38</v>
      </c>
      <c r="BC268" s="1">
        <v>44651</v>
      </c>
      <c r="BD268" s="2">
        <v>1.08</v>
      </c>
      <c r="BE268" s="1">
        <v>44651</v>
      </c>
      <c r="BF268" s="2">
        <v>-12.526999999999999</v>
      </c>
      <c r="BG268" s="2">
        <v>44651</v>
      </c>
      <c r="BH268" s="2">
        <v>182.78299999999999</v>
      </c>
      <c r="BI268" s="1">
        <v>44651</v>
      </c>
      <c r="BJ268" s="2">
        <v>-1.5609999999999999</v>
      </c>
      <c r="BK268" s="1">
        <v>44651</v>
      </c>
      <c r="BL268" s="2">
        <v>955.97059999999999</v>
      </c>
      <c r="BM268" s="1"/>
      <c r="BO268" s="1"/>
    </row>
    <row r="269" spans="1:68" x14ac:dyDescent="0.25">
      <c r="A269" s="1">
        <v>44680</v>
      </c>
      <c r="B269" s="2">
        <v>3830.6770000000001</v>
      </c>
      <c r="C269" s="1">
        <v>44680</v>
      </c>
      <c r="D269" s="2">
        <v>275.08749999999998</v>
      </c>
      <c r="E269" s="1">
        <v>44680</v>
      </c>
      <c r="F269" s="2">
        <v>230.39500000000001</v>
      </c>
      <c r="G269" s="1">
        <v>44680</v>
      </c>
      <c r="H269" s="2">
        <v>237.40693999999999</v>
      </c>
      <c r="I269" s="1">
        <v>44712</v>
      </c>
      <c r="J269" s="2">
        <v>161.2184</v>
      </c>
      <c r="K269" s="1">
        <v>44680</v>
      </c>
      <c r="L269" s="2">
        <v>165.6129</v>
      </c>
      <c r="M269" s="1">
        <v>44680</v>
      </c>
      <c r="N269" s="2">
        <v>192.31649999999999</v>
      </c>
      <c r="O269" s="1">
        <v>44712</v>
      </c>
      <c r="P269" s="2">
        <v>147.32929999999999</v>
      </c>
      <c r="Q269" s="1">
        <v>44680</v>
      </c>
      <c r="R269" s="2">
        <v>165.9743</v>
      </c>
      <c r="S269" s="1">
        <v>44680</v>
      </c>
      <c r="T269" s="2">
        <v>545.50170000000003</v>
      </c>
      <c r="U269" s="1">
        <v>44680</v>
      </c>
      <c r="V269" s="2">
        <v>369.72149999999999</v>
      </c>
      <c r="W269" s="1">
        <v>44680</v>
      </c>
      <c r="X269" s="2">
        <v>2108.17</v>
      </c>
      <c r="Y269" s="1">
        <v>44680</v>
      </c>
      <c r="Z269" s="2">
        <v>21.283999999999999</v>
      </c>
      <c r="AA269" s="1">
        <v>45044</v>
      </c>
      <c r="AB269" s="2">
        <v>446.97329999999999</v>
      </c>
      <c r="AC269" s="1">
        <v>44680</v>
      </c>
      <c r="AD269" s="2">
        <v>338.14170000000001</v>
      </c>
      <c r="AE269" s="1">
        <v>45044</v>
      </c>
      <c r="AF269" s="2">
        <v>266.0326</v>
      </c>
      <c r="AG269" s="1">
        <v>45044</v>
      </c>
      <c r="AH269" s="2">
        <v>271.05709999999999</v>
      </c>
      <c r="AI269" s="1">
        <v>45044</v>
      </c>
      <c r="AJ269" s="2">
        <v>592.48760000000004</v>
      </c>
      <c r="AK269" s="1">
        <v>44680</v>
      </c>
      <c r="AL269" s="2">
        <v>8484.31</v>
      </c>
      <c r="AM269" s="1">
        <v>44680</v>
      </c>
      <c r="AN269" s="2">
        <v>3383.33</v>
      </c>
      <c r="AO269" s="1">
        <v>44680</v>
      </c>
      <c r="AP269" s="2">
        <v>4367.6400000000003</v>
      </c>
      <c r="AQ269" s="1">
        <v>44680</v>
      </c>
      <c r="AR269" s="2">
        <v>3270.81</v>
      </c>
      <c r="AS269" s="1">
        <v>44680</v>
      </c>
      <c r="AT269" s="2">
        <v>11164.57</v>
      </c>
      <c r="AU269" s="2">
        <v>44680</v>
      </c>
      <c r="AV269" s="2">
        <v>7714.47</v>
      </c>
      <c r="AW269" s="1"/>
      <c r="AY269" s="2">
        <v>46080</v>
      </c>
      <c r="AZ269" s="2">
        <v>220.84</v>
      </c>
      <c r="BC269" s="1">
        <v>44680</v>
      </c>
      <c r="BD269" s="2">
        <v>1.25</v>
      </c>
      <c r="BE269" s="1">
        <v>44680</v>
      </c>
      <c r="BF269" s="2">
        <v>-2.4790000000000001</v>
      </c>
      <c r="BG269" s="2">
        <v>44680</v>
      </c>
      <c r="BH269" s="2">
        <v>208.78</v>
      </c>
      <c r="BI269" s="1">
        <v>44680</v>
      </c>
      <c r="BJ269" s="2">
        <v>4.0629999999999997</v>
      </c>
      <c r="BK269" s="1">
        <v>44680</v>
      </c>
      <c r="BL269" s="2">
        <v>899.77179999999998</v>
      </c>
      <c r="BM269" s="1"/>
      <c r="BO269" s="1"/>
    </row>
    <row r="270" spans="1:68" x14ac:dyDescent="0.25">
      <c r="A270" s="1">
        <v>44712</v>
      </c>
      <c r="B270" s="2">
        <v>3823.027</v>
      </c>
      <c r="C270" s="1">
        <v>44712</v>
      </c>
      <c r="D270" s="2">
        <v>276.7654</v>
      </c>
      <c r="E270" s="1">
        <v>44712</v>
      </c>
      <c r="F270" s="2">
        <v>229.65600000000001</v>
      </c>
      <c r="G270" s="1">
        <v>44712</v>
      </c>
      <c r="H270" s="2">
        <v>238.85166000000001</v>
      </c>
      <c r="I270" s="1">
        <v>44742</v>
      </c>
      <c r="J270" s="2">
        <v>162.25139999999999</v>
      </c>
      <c r="K270" s="1">
        <v>44712</v>
      </c>
      <c r="L270" s="2">
        <v>164.65960000000001</v>
      </c>
      <c r="M270" s="1">
        <v>44712</v>
      </c>
      <c r="N270" s="2">
        <v>193.08670000000001</v>
      </c>
      <c r="O270" s="1">
        <v>44742</v>
      </c>
      <c r="P270" s="2">
        <v>145.62049999999999</v>
      </c>
      <c r="Q270" s="1">
        <v>44712</v>
      </c>
      <c r="R270" s="2">
        <v>165.63239999999999</v>
      </c>
      <c r="S270" s="1">
        <v>44712</v>
      </c>
      <c r="T270" s="2">
        <v>544.75130000000001</v>
      </c>
      <c r="U270" s="1">
        <v>44712</v>
      </c>
      <c r="V270" s="2">
        <v>357.73430000000002</v>
      </c>
      <c r="W270" s="1">
        <v>44712</v>
      </c>
      <c r="X270" s="2">
        <v>2131.48</v>
      </c>
      <c r="Y270" s="1">
        <v>44712</v>
      </c>
      <c r="Z270" s="2">
        <v>28.353000000000002</v>
      </c>
      <c r="AA270" s="1">
        <v>45077</v>
      </c>
      <c r="AB270" s="2">
        <v>422.91050000000001</v>
      </c>
      <c r="AC270" s="1">
        <v>44712</v>
      </c>
      <c r="AD270" s="2">
        <v>343.42070000000001</v>
      </c>
      <c r="AE270" s="1">
        <v>45077</v>
      </c>
      <c r="AF270" s="2">
        <v>254.6241</v>
      </c>
      <c r="AG270" s="1">
        <v>45077</v>
      </c>
      <c r="AH270" s="2">
        <v>250.49700000000001</v>
      </c>
      <c r="AI270" s="1">
        <v>45077</v>
      </c>
      <c r="AJ270" s="2">
        <v>578.95799999999997</v>
      </c>
      <c r="AK270" s="1">
        <v>44712</v>
      </c>
      <c r="AL270" s="2">
        <v>8490.73</v>
      </c>
      <c r="AM270" s="1">
        <v>44712</v>
      </c>
      <c r="AN270" s="2">
        <v>3347.69</v>
      </c>
      <c r="AO270" s="1">
        <v>44712</v>
      </c>
      <c r="AP270" s="2">
        <v>4336.0200000000004</v>
      </c>
      <c r="AQ270" s="1">
        <v>44712</v>
      </c>
      <c r="AR270" s="2">
        <v>3265.55</v>
      </c>
      <c r="AS270" s="1">
        <v>44712</v>
      </c>
      <c r="AT270" s="2">
        <v>11395.93</v>
      </c>
      <c r="AU270" s="2">
        <v>44712</v>
      </c>
      <c r="AV270" s="2">
        <v>7539.96</v>
      </c>
      <c r="BC270" s="1">
        <v>44712</v>
      </c>
      <c r="BD270" s="2">
        <v>1.21</v>
      </c>
      <c r="BE270" s="1">
        <v>44712</v>
      </c>
      <c r="BF270" s="2">
        <v>2.3380000000000001</v>
      </c>
      <c r="BG270" s="2">
        <v>44712</v>
      </c>
      <c r="BH270" s="2">
        <v>176.66499999999999</v>
      </c>
      <c r="BI270" s="1">
        <v>44712</v>
      </c>
      <c r="BJ270" s="2">
        <v>22.273</v>
      </c>
      <c r="BK270" s="1">
        <v>44712</v>
      </c>
      <c r="BL270" s="2">
        <v>899.16139999999996</v>
      </c>
      <c r="BM270" s="1"/>
      <c r="BO270" s="1"/>
    </row>
    <row r="271" spans="1:68" x14ac:dyDescent="0.25">
      <c r="A271" s="1">
        <v>44742</v>
      </c>
      <c r="B271" s="2">
        <v>3921.28</v>
      </c>
      <c r="C271" s="1">
        <v>44742</v>
      </c>
      <c r="D271" s="2">
        <v>281.26310000000001</v>
      </c>
      <c r="E271" s="1">
        <v>44742</v>
      </c>
      <c r="F271" s="2">
        <v>229.989</v>
      </c>
      <c r="G271" s="1">
        <v>44742</v>
      </c>
      <c r="H271" s="2">
        <v>232.27301</v>
      </c>
      <c r="I271" s="1">
        <v>44771</v>
      </c>
      <c r="J271" s="2">
        <v>160.43989999999999</v>
      </c>
      <c r="K271" s="1">
        <v>44742</v>
      </c>
      <c r="L271" s="2">
        <v>165.90539999999999</v>
      </c>
      <c r="M271" s="1">
        <v>44742</v>
      </c>
      <c r="N271" s="2">
        <v>195.4092</v>
      </c>
      <c r="O271" s="1">
        <v>44771</v>
      </c>
      <c r="P271" s="2">
        <v>144.81049999999999</v>
      </c>
      <c r="Q271" s="1">
        <v>44742</v>
      </c>
      <c r="R271" s="2">
        <v>168.68100000000001</v>
      </c>
      <c r="S271" s="1">
        <v>44742</v>
      </c>
      <c r="T271" s="2">
        <v>536.48389999999995</v>
      </c>
      <c r="U271" s="1">
        <v>44742</v>
      </c>
      <c r="V271" s="2">
        <v>338.65449999999998</v>
      </c>
      <c r="W271" s="1">
        <v>44742</v>
      </c>
      <c r="X271" s="2">
        <v>2097.35</v>
      </c>
      <c r="Y271" s="1">
        <v>44742</v>
      </c>
      <c r="Z271" s="2">
        <v>5.1449999999999996</v>
      </c>
      <c r="AA271" s="1">
        <v>45107</v>
      </c>
      <c r="AB271" s="2">
        <v>437.63310000000001</v>
      </c>
      <c r="AC271" s="1">
        <v>44742</v>
      </c>
      <c r="AD271" s="2">
        <v>308.22809999999998</v>
      </c>
      <c r="AE271" s="1">
        <v>45107</v>
      </c>
      <c r="AF271" s="2">
        <v>268.24740000000003</v>
      </c>
      <c r="AG271" s="1">
        <v>45107</v>
      </c>
      <c r="AH271" s="2">
        <v>265.72230000000002</v>
      </c>
      <c r="AI271" s="1">
        <v>45107</v>
      </c>
      <c r="AJ271" s="2">
        <v>565.58309999999994</v>
      </c>
      <c r="AK271" s="1">
        <v>44742</v>
      </c>
      <c r="AL271" s="2">
        <v>7755.25</v>
      </c>
      <c r="AM271" s="1">
        <v>44742</v>
      </c>
      <c r="AN271" s="2">
        <v>3085.49</v>
      </c>
      <c r="AO271" s="1">
        <v>44742</v>
      </c>
      <c r="AP271" s="2">
        <v>4146.3900000000003</v>
      </c>
      <c r="AQ271" s="1">
        <v>44742</v>
      </c>
      <c r="AR271" s="2">
        <v>3020.74</v>
      </c>
      <c r="AS271" s="1">
        <v>44742</v>
      </c>
      <c r="AT271" s="2">
        <v>10388.370000000001</v>
      </c>
      <c r="AU271" s="2">
        <v>44742</v>
      </c>
      <c r="AV271" s="2">
        <v>6901.31</v>
      </c>
      <c r="BC271" s="1">
        <v>44742</v>
      </c>
      <c r="BD271" s="2">
        <v>1.43</v>
      </c>
      <c r="BE271" s="1">
        <v>44742</v>
      </c>
      <c r="BF271" s="2">
        <v>-2.8380000000000001</v>
      </c>
      <c r="BG271" s="2">
        <v>44742</v>
      </c>
      <c r="BH271" s="2">
        <v>130.49100000000001</v>
      </c>
      <c r="BI271" s="1">
        <v>44742</v>
      </c>
      <c r="BJ271" s="2">
        <v>13.893000000000001</v>
      </c>
      <c r="BK271" s="1">
        <v>44742</v>
      </c>
      <c r="BL271" s="2">
        <v>870.83910000000003</v>
      </c>
      <c r="BM271" s="1"/>
      <c r="BO271" s="1"/>
    </row>
    <row r="272" spans="1:68" x14ac:dyDescent="0.25">
      <c r="A272" s="1">
        <v>44771</v>
      </c>
      <c r="B272" s="2">
        <v>3748.4319999999998</v>
      </c>
      <c r="C272" s="1">
        <v>44771</v>
      </c>
      <c r="D272" s="2">
        <v>278.39800000000002</v>
      </c>
      <c r="E272" s="1">
        <v>44771</v>
      </c>
      <c r="F272" s="2">
        <v>232.768</v>
      </c>
      <c r="G272" s="1">
        <v>44771</v>
      </c>
      <c r="H272" s="2">
        <v>228.65123</v>
      </c>
      <c r="I272" s="1">
        <v>44804</v>
      </c>
      <c r="J272" s="2">
        <v>161.76060000000001</v>
      </c>
      <c r="K272" s="1">
        <v>44771</v>
      </c>
      <c r="L272" s="2">
        <v>162.92140000000001</v>
      </c>
      <c r="M272" s="1">
        <v>44771</v>
      </c>
      <c r="N272" s="2">
        <v>189.42230000000001</v>
      </c>
      <c r="O272" s="1">
        <v>44804</v>
      </c>
      <c r="P272" s="2">
        <v>144.83940000000001</v>
      </c>
      <c r="Q272" s="1">
        <v>44771</v>
      </c>
      <c r="R272" s="2">
        <v>168.72319999999999</v>
      </c>
      <c r="S272" s="1">
        <v>44771</v>
      </c>
      <c r="T272" s="2">
        <v>550.14859999999999</v>
      </c>
      <c r="U272" s="1">
        <v>44771</v>
      </c>
      <c r="V272" s="2">
        <v>353.83080000000001</v>
      </c>
      <c r="W272" s="1">
        <v>44771</v>
      </c>
      <c r="X272" s="2">
        <v>2164.7800000000002</v>
      </c>
      <c r="Y272" s="1">
        <v>44771</v>
      </c>
      <c r="Z272" s="2">
        <v>-24.18</v>
      </c>
      <c r="AA272" s="1">
        <v>45138</v>
      </c>
      <c r="AB272" s="2">
        <v>468.21940000000001</v>
      </c>
      <c r="AC272" s="1">
        <v>44771</v>
      </c>
      <c r="AD272" s="2">
        <v>313.63029999999998</v>
      </c>
      <c r="AE272" s="1">
        <v>45138</v>
      </c>
      <c r="AF272" s="2">
        <v>276.15570000000002</v>
      </c>
      <c r="AG272" s="1">
        <v>45138</v>
      </c>
      <c r="AH272" s="2">
        <v>302.85649999999998</v>
      </c>
      <c r="AI272" s="1">
        <v>45138</v>
      </c>
      <c r="AJ272" s="2">
        <v>587.95500000000004</v>
      </c>
      <c r="AK272" s="1">
        <v>44771</v>
      </c>
      <c r="AL272" s="2">
        <v>8370.99</v>
      </c>
      <c r="AM272" s="1">
        <v>44771</v>
      </c>
      <c r="AN272" s="2">
        <v>3347.71</v>
      </c>
      <c r="AO272" s="1">
        <v>44771</v>
      </c>
      <c r="AP272" s="2">
        <v>4294.67</v>
      </c>
      <c r="AQ272" s="1">
        <v>44771</v>
      </c>
      <c r="AR272" s="2">
        <v>3153.01</v>
      </c>
      <c r="AS272" s="1">
        <v>44771</v>
      </c>
      <c r="AT272" s="2">
        <v>10862.96</v>
      </c>
      <c r="AU272" s="2">
        <v>44771</v>
      </c>
      <c r="AV272" s="2">
        <v>7697.42</v>
      </c>
      <c r="BC272" s="1">
        <v>44771</v>
      </c>
      <c r="BD272" s="2">
        <v>1.34</v>
      </c>
      <c r="BE272" s="1">
        <v>44771</v>
      </c>
      <c r="BF272" s="2">
        <v>-3.0680000000000001</v>
      </c>
      <c r="BG272" s="2">
        <v>44771</v>
      </c>
      <c r="BH272" s="2">
        <v>23.709</v>
      </c>
      <c r="BI272" s="1">
        <v>44771</v>
      </c>
      <c r="BJ272" s="2">
        <v>33.115000000000002</v>
      </c>
      <c r="BK272" s="1">
        <v>44771</v>
      </c>
      <c r="BL272" s="2">
        <v>886.32619999999997</v>
      </c>
      <c r="BM272" s="1"/>
      <c r="BO272" s="1"/>
    </row>
    <row r="273" spans="1:67" x14ac:dyDescent="0.25">
      <c r="A273" s="1">
        <v>44804</v>
      </c>
      <c r="B273" s="2">
        <v>3897.9140000000002</v>
      </c>
      <c r="C273" s="1">
        <v>44804</v>
      </c>
      <c r="D273" s="2">
        <v>284.05090000000001</v>
      </c>
      <c r="E273" s="1">
        <v>44804</v>
      </c>
      <c r="F273" s="2">
        <v>235.899</v>
      </c>
      <c r="G273" s="1">
        <v>44804</v>
      </c>
      <c r="H273" s="2">
        <v>228.96866</v>
      </c>
      <c r="I273" s="1">
        <v>44834</v>
      </c>
      <c r="J273" s="2">
        <v>165.44749999999999</v>
      </c>
      <c r="K273" s="1">
        <v>44804</v>
      </c>
      <c r="L273" s="2">
        <v>163.40309999999999</v>
      </c>
      <c r="M273" s="1">
        <v>44804</v>
      </c>
      <c r="N273" s="2">
        <v>193.78710000000001</v>
      </c>
      <c r="O273" s="1">
        <v>44834</v>
      </c>
      <c r="P273" s="2">
        <v>144.6773</v>
      </c>
      <c r="Q273" s="1">
        <v>44804</v>
      </c>
      <c r="R273" s="2">
        <v>170.5239</v>
      </c>
      <c r="S273" s="1">
        <v>44804</v>
      </c>
      <c r="T273" s="2">
        <v>535.7867</v>
      </c>
      <c r="U273" s="1">
        <v>44804</v>
      </c>
      <c r="V273" s="2">
        <v>332.2183</v>
      </c>
      <c r="W273" s="1">
        <v>44804</v>
      </c>
      <c r="X273" s="2">
        <v>2090.7600000000002</v>
      </c>
      <c r="Y273" s="1">
        <v>44804</v>
      </c>
      <c r="Z273" s="2">
        <v>-30.44</v>
      </c>
      <c r="AA273" s="1">
        <v>45169</v>
      </c>
      <c r="AB273" s="2">
        <v>466.0523</v>
      </c>
      <c r="AC273" s="1">
        <v>44804</v>
      </c>
      <c r="AD273" s="2">
        <v>313.35210000000001</v>
      </c>
      <c r="AE273" s="1">
        <v>45169</v>
      </c>
      <c r="AF273" s="2">
        <v>275.86810000000003</v>
      </c>
      <c r="AG273" s="1">
        <v>45169</v>
      </c>
      <c r="AH273" s="2">
        <v>309.69060000000002</v>
      </c>
      <c r="AI273" s="1">
        <v>45169</v>
      </c>
      <c r="AJ273" s="2">
        <v>578.09569999999997</v>
      </c>
      <c r="AK273" s="1">
        <v>44804</v>
      </c>
      <c r="AL273" s="2">
        <v>8021.01</v>
      </c>
      <c r="AM273" s="1">
        <v>44804</v>
      </c>
      <c r="AN273" s="2">
        <v>3151.59</v>
      </c>
      <c r="AO273" s="1">
        <v>44804</v>
      </c>
      <c r="AP273" s="2">
        <v>4167.51</v>
      </c>
      <c r="AQ273" s="1">
        <v>44804</v>
      </c>
      <c r="AR273" s="2">
        <v>3072.35</v>
      </c>
      <c r="AS273" s="1">
        <v>44804</v>
      </c>
      <c r="AT273" s="2">
        <v>10528.8</v>
      </c>
      <c r="AU273" s="2">
        <v>44804</v>
      </c>
      <c r="AV273" s="2">
        <v>7290.68</v>
      </c>
      <c r="BC273" s="1">
        <v>44804</v>
      </c>
      <c r="BD273" s="2">
        <v>1.3</v>
      </c>
      <c r="BE273" s="1">
        <v>44804</v>
      </c>
      <c r="BF273" s="2">
        <v>-16.164000000000001</v>
      </c>
      <c r="BG273" s="2">
        <v>44804</v>
      </c>
      <c r="BH273" s="2">
        <v>24.35</v>
      </c>
      <c r="BI273" s="1">
        <v>44804</v>
      </c>
      <c r="BJ273" s="2">
        <v>-6.165</v>
      </c>
      <c r="BK273" s="1">
        <v>44804</v>
      </c>
      <c r="BL273" s="2">
        <v>847.75360000000001</v>
      </c>
      <c r="BM273" s="1"/>
      <c r="BO273" s="1"/>
    </row>
    <row r="274" spans="1:67" x14ac:dyDescent="0.25">
      <c r="A274" s="1">
        <v>44834</v>
      </c>
      <c r="B274" s="2">
        <v>4122.5379999999996</v>
      </c>
      <c r="C274" s="1">
        <v>44834</v>
      </c>
      <c r="D274" s="2">
        <v>284.7432</v>
      </c>
      <c r="E274" s="1">
        <v>44834</v>
      </c>
      <c r="F274" s="2">
        <v>234.41900000000001</v>
      </c>
      <c r="G274" s="1">
        <v>44834</v>
      </c>
      <c r="H274" s="2">
        <v>222.10557</v>
      </c>
      <c r="I274" s="1">
        <v>44865</v>
      </c>
      <c r="J274" s="2">
        <v>164.3587</v>
      </c>
      <c r="K274" s="1">
        <v>44834</v>
      </c>
      <c r="L274" s="2">
        <v>167.6001</v>
      </c>
      <c r="M274" s="1">
        <v>44834</v>
      </c>
      <c r="N274" s="2">
        <v>200.09780000000001</v>
      </c>
      <c r="O274" s="1">
        <v>44865</v>
      </c>
      <c r="P274" s="2">
        <v>143.8682</v>
      </c>
      <c r="Q274" s="1">
        <v>44834</v>
      </c>
      <c r="R274" s="2">
        <v>176.75</v>
      </c>
      <c r="S274" s="1">
        <v>44834</v>
      </c>
      <c r="T274" s="2">
        <v>518.58659999999998</v>
      </c>
      <c r="U274" s="1">
        <v>44834</v>
      </c>
      <c r="V274" s="2">
        <v>304.9341</v>
      </c>
      <c r="W274" s="1">
        <v>44834</v>
      </c>
      <c r="X274" s="2">
        <v>1985.15</v>
      </c>
      <c r="Y274" s="1">
        <v>44834</v>
      </c>
      <c r="Z274" s="2">
        <v>-45.424999999999997</v>
      </c>
      <c r="AA274" s="1">
        <v>45198</v>
      </c>
      <c r="AB274" s="2">
        <v>463.9631</v>
      </c>
      <c r="AC274" s="1">
        <v>44834</v>
      </c>
      <c r="AD274" s="2">
        <v>290.63499999999999</v>
      </c>
      <c r="AE274" s="1">
        <v>45198</v>
      </c>
      <c r="AF274" s="2">
        <v>268.3134</v>
      </c>
      <c r="AG274" s="1">
        <v>45198</v>
      </c>
      <c r="AH274" s="2">
        <v>323.97519999999997</v>
      </c>
      <c r="AI274" s="1">
        <v>45198</v>
      </c>
      <c r="AJ274" s="2">
        <v>545.39599999999996</v>
      </c>
      <c r="AK274" s="1">
        <v>44834</v>
      </c>
      <c r="AL274" s="2">
        <v>7275.38</v>
      </c>
      <c r="AM274" s="1">
        <v>44834</v>
      </c>
      <c r="AN274" s="2">
        <v>2865.3</v>
      </c>
      <c r="AO274" s="1">
        <v>44834</v>
      </c>
      <c r="AP274" s="2">
        <v>3880.45</v>
      </c>
      <c r="AQ274" s="1">
        <v>44834</v>
      </c>
      <c r="AR274" s="2">
        <v>2846.97</v>
      </c>
      <c r="AS274" s="1">
        <v>44834</v>
      </c>
      <c r="AT274" s="2">
        <v>9635.51</v>
      </c>
      <c r="AU274" s="2">
        <v>44834</v>
      </c>
      <c r="AV274" s="2">
        <v>6552.69</v>
      </c>
      <c r="BC274" s="1">
        <v>44834</v>
      </c>
      <c r="BD274" s="2">
        <v>1.47</v>
      </c>
      <c r="BE274" s="1">
        <v>44834</v>
      </c>
      <c r="BF274" s="2">
        <v>-26.486000000000001</v>
      </c>
      <c r="BG274" s="2">
        <v>44834</v>
      </c>
      <c r="BH274" s="2">
        <v>53.573</v>
      </c>
      <c r="BI274" s="1">
        <v>44834</v>
      </c>
      <c r="BJ274" s="2">
        <v>-31.76</v>
      </c>
      <c r="BK274" s="1">
        <v>44834</v>
      </c>
      <c r="BL274" s="2">
        <v>804.55830000000003</v>
      </c>
      <c r="BM274" s="1"/>
      <c r="BO274" s="1"/>
    </row>
    <row r="275" spans="1:67" x14ac:dyDescent="0.25">
      <c r="A275" s="1">
        <v>44865</v>
      </c>
      <c r="B275" s="2">
        <v>4130.3860000000004</v>
      </c>
      <c r="C275" s="1">
        <v>44865</v>
      </c>
      <c r="D275" s="2">
        <v>292.68779999999998</v>
      </c>
      <c r="E275" s="1">
        <v>44865</v>
      </c>
      <c r="F275" s="2">
        <v>241.93</v>
      </c>
      <c r="G275" s="1">
        <v>44865</v>
      </c>
      <c r="H275" s="2">
        <v>225.85928000000001</v>
      </c>
      <c r="I275" s="1">
        <v>44895</v>
      </c>
      <c r="J275" s="2">
        <v>161.6722</v>
      </c>
      <c r="K275" s="1">
        <v>44865</v>
      </c>
      <c r="L275" s="2">
        <v>164.27170000000001</v>
      </c>
      <c r="M275" s="1">
        <v>44865</v>
      </c>
      <c r="N275" s="2">
        <v>200.6448</v>
      </c>
      <c r="O275" s="1">
        <v>44895</v>
      </c>
      <c r="P275" s="2">
        <v>142.35400000000001</v>
      </c>
      <c r="Q275" s="1">
        <v>44865</v>
      </c>
      <c r="R275" s="2">
        <v>176.09989999999999</v>
      </c>
      <c r="S275" s="1">
        <v>44865</v>
      </c>
      <c r="T275" s="2">
        <v>516.81169999999997</v>
      </c>
      <c r="U275" s="1">
        <v>44865</v>
      </c>
      <c r="V275" s="2">
        <v>308.04320000000001</v>
      </c>
      <c r="W275" s="1">
        <v>44865</v>
      </c>
      <c r="X275" s="2">
        <v>1956.87</v>
      </c>
      <c r="Y275" s="1">
        <v>44865</v>
      </c>
      <c r="Z275" s="2">
        <v>-44.079000000000001</v>
      </c>
      <c r="AA275" s="1">
        <v>45230</v>
      </c>
      <c r="AB275" s="2">
        <v>461.59059999999999</v>
      </c>
      <c r="AC275" s="1">
        <v>44865</v>
      </c>
      <c r="AD275" s="2">
        <v>295.89830000000001</v>
      </c>
      <c r="AE275" s="1">
        <v>45230</v>
      </c>
      <c r="AF275" s="2">
        <v>269.6712</v>
      </c>
      <c r="AG275" s="1">
        <v>45230</v>
      </c>
      <c r="AH275" s="2">
        <v>311.38029999999998</v>
      </c>
      <c r="AI275" s="1">
        <v>45230</v>
      </c>
      <c r="AJ275" s="2">
        <v>580.01990000000001</v>
      </c>
      <c r="AK275" s="1">
        <v>44865</v>
      </c>
      <c r="AL275" s="2">
        <v>7797.85</v>
      </c>
      <c r="AM275" s="1">
        <v>44865</v>
      </c>
      <c r="AN275" s="2">
        <v>3049.03</v>
      </c>
      <c r="AO275" s="1">
        <v>44865</v>
      </c>
      <c r="AP275" s="2">
        <v>4105.16</v>
      </c>
      <c r="AQ275" s="1">
        <v>44865</v>
      </c>
      <c r="AR275" s="2">
        <v>3130.5</v>
      </c>
      <c r="AS275" s="1">
        <v>44865</v>
      </c>
      <c r="AT275" s="2">
        <v>10569.84</v>
      </c>
      <c r="AU275" s="2">
        <v>44865</v>
      </c>
      <c r="AV275" s="2">
        <v>6852.88</v>
      </c>
      <c r="BC275" s="1">
        <v>44865</v>
      </c>
      <c r="BD275" s="2">
        <v>1.47</v>
      </c>
      <c r="BE275" s="1">
        <v>44865</v>
      </c>
      <c r="BF275" s="2">
        <v>-18.396999999999998</v>
      </c>
      <c r="BG275" s="2">
        <v>44865</v>
      </c>
      <c r="BH275" s="2">
        <v>-4.4290000000000003</v>
      </c>
      <c r="BI275" s="1">
        <v>44865</v>
      </c>
      <c r="BJ275" s="2">
        <v>-6.7919999999999998</v>
      </c>
      <c r="BK275" s="1">
        <v>44865</v>
      </c>
      <c r="BL275" s="2">
        <v>800.36599999999999</v>
      </c>
      <c r="BM275" s="1"/>
      <c r="BO275" s="1"/>
    </row>
    <row r="276" spans="1:67" x14ac:dyDescent="0.25">
      <c r="A276" s="1">
        <v>44895</v>
      </c>
      <c r="B276" s="2">
        <v>3881.2170000000001</v>
      </c>
      <c r="C276" s="1">
        <v>44895</v>
      </c>
      <c r="D276" s="2">
        <v>287.93040000000002</v>
      </c>
      <c r="E276" s="1">
        <v>44895</v>
      </c>
      <c r="F276" s="2">
        <v>236.03899999999999</v>
      </c>
      <c r="G276" s="1">
        <v>44895</v>
      </c>
      <c r="H276" s="2">
        <v>232.43752000000001</v>
      </c>
      <c r="I276" s="1">
        <v>44925</v>
      </c>
      <c r="J276" s="2">
        <v>161.3931</v>
      </c>
      <c r="K276" s="1">
        <v>44895</v>
      </c>
      <c r="L276" s="2">
        <v>161.6131</v>
      </c>
      <c r="M276" s="1">
        <v>44895</v>
      </c>
      <c r="N276" s="2">
        <v>197.3621</v>
      </c>
      <c r="O276" s="1">
        <v>44925</v>
      </c>
      <c r="P276" s="2">
        <v>141.51519999999999</v>
      </c>
      <c r="Q276" s="1">
        <v>44895</v>
      </c>
      <c r="R276" s="2">
        <v>172.12610000000001</v>
      </c>
      <c r="S276" s="1">
        <v>44895</v>
      </c>
      <c r="T276" s="2">
        <v>529.98159999999996</v>
      </c>
      <c r="U276" s="1">
        <v>44895</v>
      </c>
      <c r="V276" s="2">
        <v>322.94909999999999</v>
      </c>
      <c r="W276" s="1">
        <v>44895</v>
      </c>
      <c r="X276" s="2">
        <v>2036.63</v>
      </c>
      <c r="Y276" s="1">
        <v>44895</v>
      </c>
      <c r="Z276" s="2">
        <v>-70.89</v>
      </c>
      <c r="AA276" s="1">
        <v>45260</v>
      </c>
      <c r="AB276" s="2">
        <v>457.77859999999998</v>
      </c>
      <c r="AC276" s="1">
        <v>44895</v>
      </c>
      <c r="AD276" s="2">
        <v>305.11369999999999</v>
      </c>
      <c r="AE276" s="1">
        <v>45260</v>
      </c>
      <c r="AF276" s="2">
        <v>270.65379999999999</v>
      </c>
      <c r="AG276" s="1">
        <v>45260</v>
      </c>
      <c r="AH276" s="2">
        <v>294.21210000000002</v>
      </c>
      <c r="AI276" s="1">
        <v>45260</v>
      </c>
      <c r="AJ276" s="2">
        <v>604.55240000000003</v>
      </c>
      <c r="AK276" s="1">
        <v>44895</v>
      </c>
      <c r="AL276" s="2">
        <v>8340.0400000000009</v>
      </c>
      <c r="AM276" s="1">
        <v>44895</v>
      </c>
      <c r="AN276" s="2">
        <v>3301.19</v>
      </c>
      <c r="AO276" s="1">
        <v>44895</v>
      </c>
      <c r="AP276" s="2">
        <v>4355.01</v>
      </c>
      <c r="AQ276" s="1">
        <v>44895</v>
      </c>
      <c r="AR276" s="2">
        <v>3297.23</v>
      </c>
      <c r="AS276" s="1">
        <v>44895</v>
      </c>
      <c r="AT276" s="2">
        <v>11334.16</v>
      </c>
      <c r="AU276" s="2">
        <v>44895</v>
      </c>
      <c r="AV276" s="2">
        <v>7308.67</v>
      </c>
      <c r="BC276" s="1">
        <v>44895</v>
      </c>
      <c r="BD276" s="2">
        <v>1.24</v>
      </c>
      <c r="BE276" s="1">
        <v>44895</v>
      </c>
      <c r="BF276" s="2">
        <v>-13.473000000000001</v>
      </c>
      <c r="BG276" s="2">
        <v>44895</v>
      </c>
      <c r="BH276" s="2">
        <v>-77.370999999999995</v>
      </c>
      <c r="BI276" s="1">
        <v>44895</v>
      </c>
      <c r="BJ276" s="2">
        <v>-0.42099999999999999</v>
      </c>
      <c r="BK276" s="1">
        <v>44895</v>
      </c>
      <c r="BL276" s="2">
        <v>836.73979999999995</v>
      </c>
      <c r="BM276" s="1"/>
      <c r="BO276" s="1"/>
    </row>
    <row r="277" spans="1:67" x14ac:dyDescent="0.25">
      <c r="A277" s="1">
        <v>44925</v>
      </c>
      <c r="B277" s="2">
        <v>3872.2249999999999</v>
      </c>
      <c r="C277" s="1">
        <v>44925</v>
      </c>
      <c r="D277" s="2">
        <v>279.34899999999999</v>
      </c>
      <c r="E277" s="1">
        <v>44925</v>
      </c>
      <c r="F277" s="2">
        <v>227.89400000000001</v>
      </c>
      <c r="G277" s="1">
        <v>44925</v>
      </c>
      <c r="H277" s="2">
        <v>235.86195000000001</v>
      </c>
      <c r="I277" s="1">
        <v>44957</v>
      </c>
      <c r="J277" s="2">
        <v>160.86340000000001</v>
      </c>
      <c r="K277" s="1">
        <v>44925</v>
      </c>
      <c r="L277" s="2">
        <v>161.0788</v>
      </c>
      <c r="M277" s="1">
        <v>44925</v>
      </c>
      <c r="N277" s="2">
        <v>199.971</v>
      </c>
      <c r="O277" s="1">
        <v>44957</v>
      </c>
      <c r="P277" s="2">
        <v>141.2681</v>
      </c>
      <c r="Q277" s="1">
        <v>44925</v>
      </c>
      <c r="R277" s="2">
        <v>171.1559</v>
      </c>
      <c r="S277" s="1">
        <v>44925</v>
      </c>
      <c r="T277" s="2">
        <v>523.72680000000003</v>
      </c>
      <c r="U277" s="1">
        <v>44925</v>
      </c>
      <c r="V277" s="2">
        <v>317.40910000000002</v>
      </c>
      <c r="W277" s="1">
        <v>44925</v>
      </c>
      <c r="X277" s="2">
        <v>2027.65</v>
      </c>
      <c r="Y277" s="1">
        <v>44925</v>
      </c>
      <c r="Z277" s="2">
        <v>-55.722999999999999</v>
      </c>
      <c r="AA277" s="1">
        <v>45289</v>
      </c>
      <c r="AB277" s="2">
        <v>448.56310000000002</v>
      </c>
      <c r="AC277" s="1">
        <v>44925</v>
      </c>
      <c r="AD277" s="2">
        <v>295.5772</v>
      </c>
      <c r="AE277" s="1">
        <v>45289</v>
      </c>
      <c r="AF277" s="2">
        <v>261.84300000000002</v>
      </c>
      <c r="AG277" s="1">
        <v>45289</v>
      </c>
      <c r="AH277" s="2">
        <v>279.46370000000002</v>
      </c>
      <c r="AI277" s="1">
        <v>45289</v>
      </c>
      <c r="AJ277" s="2">
        <v>602.23710000000005</v>
      </c>
      <c r="AK277" s="1">
        <v>44925</v>
      </c>
      <c r="AL277" s="2">
        <v>7985.86</v>
      </c>
      <c r="AM277" s="1">
        <v>44925</v>
      </c>
      <c r="AN277" s="2">
        <v>3156.61</v>
      </c>
      <c r="AO277" s="1">
        <v>44925</v>
      </c>
      <c r="AP277" s="2">
        <v>4266.92</v>
      </c>
      <c r="AQ277" s="1">
        <v>44925</v>
      </c>
      <c r="AR277" s="2">
        <v>3216.56</v>
      </c>
      <c r="AS277" s="1">
        <v>44925</v>
      </c>
      <c r="AT277" s="2">
        <v>11055.5</v>
      </c>
      <c r="AU277" s="2">
        <v>44925</v>
      </c>
      <c r="AV277" s="2">
        <v>6861.99</v>
      </c>
      <c r="BC277" s="1">
        <v>44925</v>
      </c>
      <c r="BD277" s="2">
        <v>1.21</v>
      </c>
      <c r="BE277" s="1">
        <v>44925</v>
      </c>
      <c r="BF277" s="2">
        <v>-12.907</v>
      </c>
      <c r="BG277" s="2">
        <v>44925</v>
      </c>
      <c r="BH277" s="2">
        <v>-53.018000000000001</v>
      </c>
      <c r="BI277" s="1">
        <v>44925</v>
      </c>
      <c r="BJ277" s="2">
        <v>-4.1749999999999998</v>
      </c>
      <c r="BK277" s="1">
        <v>44925</v>
      </c>
      <c r="BL277" s="2">
        <v>835.32190000000003</v>
      </c>
      <c r="BM277" s="1"/>
      <c r="BO277" s="1"/>
    </row>
    <row r="278" spans="1:67" x14ac:dyDescent="0.25">
      <c r="A278" s="1">
        <v>44957</v>
      </c>
      <c r="B278" s="2">
        <v>3819.2890000000002</v>
      </c>
      <c r="C278" s="1">
        <v>44957</v>
      </c>
      <c r="D278" s="2">
        <v>280.98469999999998</v>
      </c>
      <c r="E278" s="1">
        <v>44957</v>
      </c>
      <c r="F278" s="2">
        <v>229.40100000000001</v>
      </c>
      <c r="G278" s="1">
        <v>44957</v>
      </c>
      <c r="H278" s="2">
        <v>241.34021999999999</v>
      </c>
      <c r="I278" s="1">
        <v>44985</v>
      </c>
      <c r="J278" s="2">
        <v>161.5729</v>
      </c>
      <c r="K278" s="1">
        <v>44957</v>
      </c>
      <c r="L278" s="2">
        <v>162.29050000000001</v>
      </c>
      <c r="M278" s="1">
        <v>44957</v>
      </c>
      <c r="N278" s="2">
        <v>194.9117</v>
      </c>
      <c r="O278" s="1">
        <v>44985</v>
      </c>
      <c r="P278" s="2">
        <v>141.12440000000001</v>
      </c>
      <c r="Q278" s="1">
        <v>44957</v>
      </c>
      <c r="R278" s="2">
        <v>171.31729999999999</v>
      </c>
      <c r="S278" s="1">
        <v>44957</v>
      </c>
      <c r="T278" s="2">
        <v>535.78959999999995</v>
      </c>
      <c r="U278" s="1">
        <v>44957</v>
      </c>
      <c r="V278" s="2">
        <v>327.85059999999999</v>
      </c>
      <c r="W278" s="1">
        <v>44957</v>
      </c>
      <c r="X278" s="2">
        <v>2094.4499999999998</v>
      </c>
      <c r="Y278" s="1">
        <v>44957</v>
      </c>
      <c r="Z278" s="2">
        <v>-69.840999999999994</v>
      </c>
      <c r="AA278" s="1">
        <v>45322</v>
      </c>
      <c r="AB278" s="2">
        <v>454.53370000000001</v>
      </c>
      <c r="AC278" s="1">
        <v>44957</v>
      </c>
      <c r="AD278" s="2">
        <v>293.0258</v>
      </c>
      <c r="AE278" s="1">
        <v>45322</v>
      </c>
      <c r="AF278" s="2">
        <v>261.98070000000001</v>
      </c>
      <c r="AG278" s="1">
        <v>45322</v>
      </c>
      <c r="AH278" s="2">
        <v>294.50650000000002</v>
      </c>
      <c r="AI278" s="1">
        <v>45322</v>
      </c>
      <c r="AJ278" s="2">
        <v>594.72699999999998</v>
      </c>
      <c r="AK278" s="1">
        <v>44957</v>
      </c>
      <c r="AL278" s="2">
        <v>8550.9</v>
      </c>
      <c r="AM278" s="1">
        <v>44957</v>
      </c>
      <c r="AN278" s="2">
        <v>3351.44</v>
      </c>
      <c r="AO278" s="1">
        <v>44957</v>
      </c>
      <c r="AP278" s="2">
        <v>4346.0600000000004</v>
      </c>
      <c r="AQ278" s="1">
        <v>44957</v>
      </c>
      <c r="AR278" s="2">
        <v>3251.14</v>
      </c>
      <c r="AS278" s="1">
        <v>44957</v>
      </c>
      <c r="AT278" s="2">
        <v>11571.52</v>
      </c>
      <c r="AU278" s="2">
        <v>44957</v>
      </c>
      <c r="AV278" s="2">
        <v>7526.82</v>
      </c>
      <c r="BC278" s="1">
        <v>44957</v>
      </c>
      <c r="BD278" s="2">
        <v>1.1000000000000001</v>
      </c>
      <c r="BE278" s="1">
        <v>44957</v>
      </c>
      <c r="BF278" s="2">
        <v>-11.202</v>
      </c>
      <c r="BG278" s="2">
        <v>44957</v>
      </c>
      <c r="BH278" s="2">
        <v>-118.137</v>
      </c>
      <c r="BI278" s="1">
        <v>44957</v>
      </c>
      <c r="BJ278" s="2">
        <v>1.33</v>
      </c>
      <c r="BK278" s="1">
        <v>44957</v>
      </c>
      <c r="BL278" s="2">
        <v>861.95150000000001</v>
      </c>
      <c r="BM278" s="1"/>
      <c r="BO278" s="1"/>
    </row>
    <row r="279" spans="1:67" x14ac:dyDescent="0.25">
      <c r="A279" s="1">
        <v>44985</v>
      </c>
      <c r="B279" s="2">
        <v>3890.3829999999998</v>
      </c>
      <c r="C279" s="1">
        <v>44985</v>
      </c>
      <c r="D279" s="2">
        <v>286.65769999999998</v>
      </c>
      <c r="E279" s="1">
        <v>44985</v>
      </c>
      <c r="F279" s="2">
        <v>231.97900000000001</v>
      </c>
      <c r="G279" s="1">
        <v>44985</v>
      </c>
      <c r="H279" s="2">
        <v>239.74618000000001</v>
      </c>
      <c r="I279" s="1">
        <v>45016</v>
      </c>
      <c r="J279" s="2">
        <v>160.29669999999999</v>
      </c>
      <c r="K279" s="1">
        <v>44985</v>
      </c>
      <c r="L279" s="2">
        <v>162.47210000000001</v>
      </c>
      <c r="M279" s="1">
        <v>44985</v>
      </c>
      <c r="N279" s="2">
        <v>199.20179999999999</v>
      </c>
      <c r="O279" s="1">
        <v>45016</v>
      </c>
      <c r="P279" s="2">
        <v>141.3466</v>
      </c>
      <c r="Q279" s="1">
        <v>44985</v>
      </c>
      <c r="R279" s="2">
        <v>171.6377</v>
      </c>
      <c r="S279" s="1">
        <v>44985</v>
      </c>
      <c r="T279" s="2">
        <v>527.24369999999999</v>
      </c>
      <c r="U279" s="1">
        <v>44985</v>
      </c>
      <c r="V279" s="2">
        <v>317.36739999999998</v>
      </c>
      <c r="W279" s="1">
        <v>44985</v>
      </c>
      <c r="X279" s="2">
        <v>2039.15</v>
      </c>
      <c r="Y279" s="1">
        <v>44985</v>
      </c>
      <c r="Z279" s="2">
        <v>-90.203000000000003</v>
      </c>
      <c r="AA279" s="1">
        <v>45351</v>
      </c>
      <c r="AB279" s="2">
        <v>451.22539999999998</v>
      </c>
      <c r="AC279" s="1">
        <v>44985</v>
      </c>
      <c r="AD279" s="2">
        <v>278.89999999999998</v>
      </c>
      <c r="AE279" s="1">
        <v>45351</v>
      </c>
      <c r="AF279" s="2">
        <v>254.6567</v>
      </c>
      <c r="AG279" s="1">
        <v>45351</v>
      </c>
      <c r="AH279" s="2">
        <v>297.9264</v>
      </c>
      <c r="AI279" s="1">
        <v>45351</v>
      </c>
      <c r="AJ279" s="2">
        <v>591.92809999999997</v>
      </c>
      <c r="AK279" s="1">
        <v>44985</v>
      </c>
      <c r="AL279" s="2">
        <v>8345.35</v>
      </c>
      <c r="AM279" s="1">
        <v>44985</v>
      </c>
      <c r="AN279" s="2">
        <v>3265.83</v>
      </c>
      <c r="AO279" s="1">
        <v>44985</v>
      </c>
      <c r="AP279" s="2">
        <v>4190.6000000000004</v>
      </c>
      <c r="AQ279" s="1">
        <v>44985</v>
      </c>
      <c r="AR279" s="2">
        <v>3146.14</v>
      </c>
      <c r="AS279" s="1">
        <v>44985</v>
      </c>
      <c r="AT279" s="2">
        <v>11233.24</v>
      </c>
      <c r="AU279" s="2">
        <v>44985</v>
      </c>
      <c r="AV279" s="2">
        <v>7386.39</v>
      </c>
      <c r="BC279" s="1">
        <v>44985</v>
      </c>
      <c r="BD279" s="2">
        <v>1.1499999999999999</v>
      </c>
      <c r="BE279" s="1">
        <v>44985</v>
      </c>
      <c r="BF279" s="2">
        <v>-26.338000000000001</v>
      </c>
      <c r="BG279" s="2">
        <v>44985</v>
      </c>
      <c r="BH279" s="2">
        <v>-93.241</v>
      </c>
      <c r="BI279" s="1">
        <v>44985</v>
      </c>
      <c r="BJ279" s="2">
        <v>-26.922000000000001</v>
      </c>
      <c r="BK279" s="1">
        <v>44985</v>
      </c>
      <c r="BL279" s="2">
        <v>833.20809999999994</v>
      </c>
      <c r="BM279" s="1"/>
      <c r="BO279" s="1"/>
    </row>
    <row r="280" spans="1:67" x14ac:dyDescent="0.25">
      <c r="A280" s="1">
        <v>45016</v>
      </c>
      <c r="B280" s="2">
        <v>3590.9290000000001</v>
      </c>
      <c r="C280" s="1">
        <v>45016</v>
      </c>
      <c r="D280" s="2">
        <v>284.00749999999999</v>
      </c>
      <c r="E280" s="1">
        <v>45016</v>
      </c>
      <c r="F280" s="2">
        <v>228.15700000000001</v>
      </c>
      <c r="G280" s="1">
        <v>45016</v>
      </c>
      <c r="H280" s="2">
        <v>245.87779</v>
      </c>
      <c r="I280" s="1">
        <v>45044</v>
      </c>
      <c r="J280" s="2">
        <v>161.0248</v>
      </c>
      <c r="K280" s="1">
        <v>45016</v>
      </c>
      <c r="L280" s="2">
        <v>161.25530000000001</v>
      </c>
      <c r="M280" s="1">
        <v>45016</v>
      </c>
      <c r="N280" s="2">
        <v>191.73310000000001</v>
      </c>
      <c r="O280" s="1">
        <v>45044</v>
      </c>
      <c r="P280" s="2">
        <v>142.11850000000001</v>
      </c>
      <c r="Q280" s="1">
        <v>45016</v>
      </c>
      <c r="R280" s="2">
        <v>171.7492</v>
      </c>
      <c r="S280" s="1">
        <v>45016</v>
      </c>
      <c r="T280" s="2">
        <v>538.93499999999995</v>
      </c>
      <c r="U280" s="1">
        <v>45016</v>
      </c>
      <c r="V280" s="2">
        <v>331.6121</v>
      </c>
      <c r="W280" s="1">
        <v>45016</v>
      </c>
      <c r="X280" s="2">
        <v>2078.87</v>
      </c>
      <c r="Y280" s="1">
        <v>45016</v>
      </c>
      <c r="Z280" s="2">
        <v>-56.173999999999999</v>
      </c>
      <c r="AA280" s="1">
        <v>45380</v>
      </c>
      <c r="AB280" s="2">
        <v>470.5025</v>
      </c>
      <c r="AC280" s="1">
        <v>45016</v>
      </c>
      <c r="AD280" s="2">
        <v>277.33839999999998</v>
      </c>
      <c r="AE280" s="1">
        <v>45380</v>
      </c>
      <c r="AF280" s="2">
        <v>260.90050000000002</v>
      </c>
      <c r="AG280" s="1">
        <v>45380</v>
      </c>
      <c r="AH280" s="2">
        <v>313.5412</v>
      </c>
      <c r="AI280" s="1">
        <v>45380</v>
      </c>
      <c r="AJ280" s="2">
        <v>642.64279999999997</v>
      </c>
      <c r="AK280" s="1">
        <v>45016</v>
      </c>
      <c r="AL280" s="2">
        <v>8603.2199999999993</v>
      </c>
      <c r="AM280" s="1">
        <v>45016</v>
      </c>
      <c r="AN280" s="2">
        <v>3489.3</v>
      </c>
      <c r="AO280" s="1">
        <v>45016</v>
      </c>
      <c r="AP280" s="2">
        <v>4356.3900000000003</v>
      </c>
      <c r="AQ280" s="1">
        <v>45016</v>
      </c>
      <c r="AR280" s="2">
        <v>3173.76</v>
      </c>
      <c r="AS280" s="1">
        <v>45016</v>
      </c>
      <c r="AT280" s="2">
        <v>11156.76</v>
      </c>
      <c r="AU280" s="2">
        <v>45016</v>
      </c>
      <c r="AV280" s="2">
        <v>7898.36</v>
      </c>
      <c r="BC280" s="1">
        <v>45016</v>
      </c>
      <c r="BD280" s="2">
        <v>1.29</v>
      </c>
      <c r="BE280" s="1">
        <v>45016</v>
      </c>
      <c r="BF280" s="2">
        <v>-11.077999999999999</v>
      </c>
      <c r="BG280" s="2">
        <v>45016</v>
      </c>
      <c r="BH280" s="2">
        <v>-133.68199999999999</v>
      </c>
      <c r="BI280" s="1">
        <v>45016</v>
      </c>
      <c r="BJ280" s="2">
        <v>7.1440000000000001</v>
      </c>
      <c r="BK280" s="1">
        <v>45016</v>
      </c>
      <c r="BL280" s="2">
        <v>864.6712</v>
      </c>
      <c r="BM280" s="1"/>
      <c r="BO280" s="1"/>
    </row>
    <row r="281" spans="1:67" x14ac:dyDescent="0.25">
      <c r="A281" s="1">
        <v>45044</v>
      </c>
      <c r="B281" s="2">
        <v>3694.7260000000001</v>
      </c>
      <c r="C281" s="1">
        <v>45044</v>
      </c>
      <c r="D281" s="2">
        <v>284.51639999999998</v>
      </c>
      <c r="E281" s="1">
        <v>45044</v>
      </c>
      <c r="F281" s="2">
        <v>228.63399999999999</v>
      </c>
      <c r="G281" s="1">
        <v>45044</v>
      </c>
      <c r="H281" s="2">
        <v>250.49695</v>
      </c>
      <c r="I281" s="1">
        <v>45077</v>
      </c>
      <c r="J281" s="2">
        <v>161.27359999999999</v>
      </c>
      <c r="K281" s="1">
        <v>45044</v>
      </c>
      <c r="L281" s="2">
        <v>161.94829999999999</v>
      </c>
      <c r="M281" s="1">
        <v>45044</v>
      </c>
      <c r="N281" s="2">
        <v>191.36150000000001</v>
      </c>
      <c r="O281" s="1">
        <v>45077</v>
      </c>
      <c r="P281" s="2">
        <v>143.65819999999999</v>
      </c>
      <c r="Q281" s="1">
        <v>45044</v>
      </c>
      <c r="R281" s="2">
        <v>173.0702</v>
      </c>
      <c r="S281" s="1">
        <v>45044</v>
      </c>
      <c r="T281" s="2">
        <v>541.70960000000002</v>
      </c>
      <c r="U281" s="1">
        <v>45044</v>
      </c>
      <c r="V281" s="2">
        <v>330.76839999999999</v>
      </c>
      <c r="W281" s="1">
        <v>45044</v>
      </c>
      <c r="X281" s="2">
        <v>2089.63</v>
      </c>
      <c r="Y281" s="1">
        <v>45044</v>
      </c>
      <c r="Z281" s="2">
        <v>-58.648000000000003</v>
      </c>
      <c r="AA281" s="1">
        <v>45412</v>
      </c>
      <c r="AB281" s="2">
        <v>482.10449999999997</v>
      </c>
      <c r="AC281" s="1">
        <v>45044</v>
      </c>
      <c r="AD281" s="2">
        <v>273.80360000000002</v>
      </c>
      <c r="AE281" s="1">
        <v>45412</v>
      </c>
      <c r="AF281" s="2">
        <v>258.11590000000001</v>
      </c>
      <c r="AG281" s="1">
        <v>45412</v>
      </c>
      <c r="AH281" s="2">
        <v>314.27800000000002</v>
      </c>
      <c r="AI281" s="1">
        <v>45412</v>
      </c>
      <c r="AJ281" s="2">
        <v>668.91830000000004</v>
      </c>
      <c r="AK281" s="1">
        <v>45044</v>
      </c>
      <c r="AL281" s="2">
        <v>8754.0300000000007</v>
      </c>
      <c r="AM281" s="1">
        <v>45044</v>
      </c>
      <c r="AN281" s="2">
        <v>3563.98</v>
      </c>
      <c r="AO281" s="1">
        <v>45044</v>
      </c>
      <c r="AP281" s="2">
        <v>4472.6499999999996</v>
      </c>
      <c r="AQ281" s="1">
        <v>45044</v>
      </c>
      <c r="AR281" s="2">
        <v>3265.15</v>
      </c>
      <c r="AS281" s="1">
        <v>45044</v>
      </c>
      <c r="AT281" s="2">
        <v>11370.1</v>
      </c>
      <c r="AU281" s="2">
        <v>45044</v>
      </c>
      <c r="AV281" s="2">
        <v>8024.93</v>
      </c>
      <c r="BC281" s="1">
        <v>45044</v>
      </c>
      <c r="BD281" s="2">
        <v>1.26</v>
      </c>
      <c r="BE281" s="1">
        <v>45044</v>
      </c>
      <c r="BF281" s="2">
        <v>-6.423</v>
      </c>
      <c r="BG281" s="2">
        <v>45044</v>
      </c>
      <c r="BH281" s="2">
        <v>-166.00899999999999</v>
      </c>
      <c r="BI281" s="1">
        <v>45044</v>
      </c>
      <c r="BJ281" s="2">
        <v>18.709</v>
      </c>
      <c r="BK281" s="1">
        <v>45044</v>
      </c>
      <c r="BL281" s="2">
        <v>868.17529999999999</v>
      </c>
      <c r="BM281" s="1"/>
      <c r="BO281" s="1"/>
    </row>
    <row r="282" spans="1:67" x14ac:dyDescent="0.25">
      <c r="A282" s="1">
        <v>45077</v>
      </c>
      <c r="B282" s="2">
        <v>3802.5810000000001</v>
      </c>
      <c r="C282" s="1">
        <v>45077</v>
      </c>
      <c r="D282" s="2">
        <v>289.46870000000001</v>
      </c>
      <c r="E282" s="1">
        <v>45077</v>
      </c>
      <c r="F282" s="2">
        <v>232.41399999999999</v>
      </c>
      <c r="G282" s="1">
        <v>45077</v>
      </c>
      <c r="H282" s="2">
        <v>245.85480999999999</v>
      </c>
      <c r="I282" s="1">
        <v>45107</v>
      </c>
      <c r="J282" s="2">
        <v>160.92410000000001</v>
      </c>
      <c r="K282" s="1">
        <v>45077</v>
      </c>
      <c r="L282" s="2">
        <v>161.6284</v>
      </c>
      <c r="M282" s="1">
        <v>45077</v>
      </c>
      <c r="N282" s="2">
        <v>191.07589999999999</v>
      </c>
      <c r="O282" s="1">
        <v>45107</v>
      </c>
      <c r="P282" s="2">
        <v>140.19059999999999</v>
      </c>
      <c r="Q282" s="1">
        <v>45077</v>
      </c>
      <c r="R282" s="2">
        <v>172.5282</v>
      </c>
      <c r="S282" s="1">
        <v>45077</v>
      </c>
      <c r="T282" s="2">
        <v>539.577</v>
      </c>
      <c r="U282" s="1">
        <v>45077</v>
      </c>
      <c r="V282" s="2">
        <v>320.40530000000001</v>
      </c>
      <c r="W282" s="1">
        <v>45077</v>
      </c>
      <c r="X282" s="2">
        <v>2074.3200000000002</v>
      </c>
      <c r="Y282" s="1">
        <v>45077</v>
      </c>
      <c r="Z282" s="2">
        <v>-76.424000000000007</v>
      </c>
      <c r="AA282" s="1">
        <v>45443</v>
      </c>
      <c r="AB282" s="2">
        <v>485.39749999999998</v>
      </c>
      <c r="AC282" s="1">
        <v>45077</v>
      </c>
      <c r="AD282" s="2">
        <v>257.10739999999998</v>
      </c>
      <c r="AE282" s="1">
        <v>45443</v>
      </c>
      <c r="AF282" s="2">
        <v>263.74360000000001</v>
      </c>
      <c r="AG282" s="1">
        <v>45443</v>
      </c>
      <c r="AH282" s="2">
        <v>303.50299999999999</v>
      </c>
      <c r="AI282" s="1">
        <v>45443</v>
      </c>
      <c r="AJ282" s="2">
        <v>696.85220000000004</v>
      </c>
      <c r="AK282" s="1">
        <v>45077</v>
      </c>
      <c r="AL282" s="2">
        <v>8666.64</v>
      </c>
      <c r="AM282" s="1">
        <v>45077</v>
      </c>
      <c r="AN282" s="2">
        <v>3624.67</v>
      </c>
      <c r="AO282" s="1">
        <v>45077</v>
      </c>
      <c r="AP282" s="2">
        <v>4294.57</v>
      </c>
      <c r="AQ282" s="1">
        <v>45077</v>
      </c>
      <c r="AR282" s="2">
        <v>3106.74</v>
      </c>
      <c r="AS282" s="1">
        <v>45077</v>
      </c>
      <c r="AT282" s="2">
        <v>10848.53</v>
      </c>
      <c r="AU282" s="2">
        <v>45077</v>
      </c>
      <c r="AV282" s="2">
        <v>8217.14</v>
      </c>
      <c r="BC282" s="1">
        <v>45077</v>
      </c>
      <c r="BD282" s="2">
        <v>1.28</v>
      </c>
      <c r="BE282" s="1">
        <v>45077</v>
      </c>
      <c r="BF282" s="2">
        <v>-11.554</v>
      </c>
      <c r="BG282" s="2">
        <v>45077</v>
      </c>
      <c r="BH282" s="2">
        <v>-177.452</v>
      </c>
      <c r="BI282" s="1">
        <v>45077</v>
      </c>
      <c r="BJ282" s="2">
        <v>10.298999999999999</v>
      </c>
      <c r="BK282" s="1">
        <v>45077</v>
      </c>
      <c r="BL282" s="2">
        <v>849.30060000000003</v>
      </c>
      <c r="BM282" s="1"/>
      <c r="BO282" s="1"/>
    </row>
    <row r="283" spans="1:67" x14ac:dyDescent="0.25">
      <c r="A283" s="1">
        <v>45107</v>
      </c>
      <c r="B283" s="2">
        <v>3880.2379999999998</v>
      </c>
      <c r="C283" s="1">
        <v>45107</v>
      </c>
      <c r="D283" s="2">
        <v>290.7054</v>
      </c>
      <c r="E283" s="1">
        <v>45107</v>
      </c>
      <c r="F283" s="2">
        <v>235.91499999999999</v>
      </c>
      <c r="G283" s="1">
        <v>45107</v>
      </c>
      <c r="H283" s="2">
        <v>247.12171000000001</v>
      </c>
      <c r="I283" s="1">
        <v>45138</v>
      </c>
      <c r="J283" s="2">
        <v>160.85329999999999</v>
      </c>
      <c r="K283" s="1">
        <v>45107</v>
      </c>
      <c r="L283" s="2">
        <v>163.0146</v>
      </c>
      <c r="M283" s="1">
        <v>45107</v>
      </c>
      <c r="N283" s="2">
        <v>193.02529999999999</v>
      </c>
      <c r="O283" s="1">
        <v>45138</v>
      </c>
      <c r="P283" s="2">
        <v>139.40790000000001</v>
      </c>
      <c r="Q283" s="1">
        <v>45107</v>
      </c>
      <c r="R283" s="2">
        <v>173.2276</v>
      </c>
      <c r="S283" s="1">
        <v>45107</v>
      </c>
      <c r="T283" s="2">
        <v>539.255</v>
      </c>
      <c r="U283" s="1">
        <v>45107</v>
      </c>
      <c r="V283" s="2">
        <v>325.76089999999999</v>
      </c>
      <c r="W283" s="1">
        <v>45107</v>
      </c>
      <c r="X283" s="2">
        <v>2065.4699999999998</v>
      </c>
      <c r="Y283" s="1">
        <v>45107</v>
      </c>
      <c r="Z283" s="2">
        <v>-106.297</v>
      </c>
      <c r="AA283" s="1">
        <v>45471</v>
      </c>
      <c r="AB283" s="2">
        <v>479.97500000000002</v>
      </c>
      <c r="AC283" s="1">
        <v>45107</v>
      </c>
      <c r="AD283" s="2">
        <v>263.77969999999999</v>
      </c>
      <c r="AE283" s="1">
        <v>45471</v>
      </c>
      <c r="AF283" s="2">
        <v>249.8381</v>
      </c>
      <c r="AG283" s="1">
        <v>45471</v>
      </c>
      <c r="AH283" s="2">
        <v>317.4905</v>
      </c>
      <c r="AI283" s="1">
        <v>45471</v>
      </c>
      <c r="AJ283" s="2">
        <v>691.99450000000002</v>
      </c>
      <c r="AK283" s="1">
        <v>45107</v>
      </c>
      <c r="AL283" s="2">
        <v>9190.7800000000007</v>
      </c>
      <c r="AM283" s="1">
        <v>45107</v>
      </c>
      <c r="AN283" s="2">
        <v>3827.55</v>
      </c>
      <c r="AO283" s="1">
        <v>45107</v>
      </c>
      <c r="AP283" s="2">
        <v>4425.74</v>
      </c>
      <c r="AQ283" s="1">
        <v>45107</v>
      </c>
      <c r="AR283" s="2">
        <v>3306.99</v>
      </c>
      <c r="AS283" s="1">
        <v>45107</v>
      </c>
      <c r="AT283" s="2">
        <v>11495.03</v>
      </c>
      <c r="AU283" s="2">
        <v>45107</v>
      </c>
      <c r="AV283" s="2">
        <v>8720.7000000000007</v>
      </c>
      <c r="BC283" s="1">
        <v>45107</v>
      </c>
      <c r="BD283" s="2">
        <v>1.1399999999999999</v>
      </c>
      <c r="BE283" s="1">
        <v>45107</v>
      </c>
      <c r="BF283" s="2">
        <v>-32.070999999999998</v>
      </c>
      <c r="BG283" s="2">
        <v>45107</v>
      </c>
      <c r="BH283" s="2">
        <v>-147.559</v>
      </c>
      <c r="BI283" s="1">
        <v>45107</v>
      </c>
      <c r="BJ283" s="2">
        <v>-29.779</v>
      </c>
      <c r="BK283" s="1">
        <v>45107</v>
      </c>
      <c r="BL283" s="2">
        <v>849.18610000000001</v>
      </c>
      <c r="BM283" s="1"/>
      <c r="BO283" s="1"/>
    </row>
    <row r="284" spans="1:67" x14ac:dyDescent="0.25">
      <c r="A284" s="1">
        <v>45138</v>
      </c>
      <c r="B284" s="2">
        <v>3819.9859999999999</v>
      </c>
      <c r="C284" s="1">
        <v>45138</v>
      </c>
      <c r="D284" s="2">
        <v>288.10180000000003</v>
      </c>
      <c r="E284" s="1">
        <v>45138</v>
      </c>
      <c r="F284" s="2">
        <v>234.49</v>
      </c>
      <c r="G284" s="1">
        <v>45138</v>
      </c>
      <c r="H284" s="2">
        <v>249.28970000000001</v>
      </c>
      <c r="I284" s="1">
        <v>45169</v>
      </c>
      <c r="J284" s="2">
        <v>159.67769999999999</v>
      </c>
      <c r="K284" s="1">
        <v>45138</v>
      </c>
      <c r="L284" s="2">
        <v>164.9828</v>
      </c>
      <c r="M284" s="1">
        <v>45138</v>
      </c>
      <c r="N284" s="2">
        <v>192.02330000000001</v>
      </c>
      <c r="O284" s="1">
        <v>45169</v>
      </c>
      <c r="P284" s="2">
        <v>139.51339999999999</v>
      </c>
      <c r="Q284" s="1">
        <v>45138</v>
      </c>
      <c r="R284" s="2">
        <v>172.71799999999999</v>
      </c>
      <c r="S284" s="1">
        <v>45138</v>
      </c>
      <c r="T284" s="2">
        <v>539.42960000000005</v>
      </c>
      <c r="U284" s="1">
        <v>45138</v>
      </c>
      <c r="V284" s="2">
        <v>328.05360000000002</v>
      </c>
      <c r="W284" s="1">
        <v>45138</v>
      </c>
      <c r="X284" s="2">
        <v>2063.9299999999998</v>
      </c>
      <c r="Y284" s="1">
        <v>45138</v>
      </c>
      <c r="Z284" s="2">
        <v>-92.195999999999998</v>
      </c>
      <c r="AA284" s="1">
        <v>45504</v>
      </c>
      <c r="AB284" s="2">
        <v>464.5949</v>
      </c>
      <c r="AC284" s="1">
        <v>45138</v>
      </c>
      <c r="AD284" s="2">
        <v>278.45850000000002</v>
      </c>
      <c r="AE284" s="1">
        <v>45504</v>
      </c>
      <c r="AF284" s="2">
        <v>240.47630000000001</v>
      </c>
      <c r="AG284" s="1">
        <v>45504</v>
      </c>
      <c r="AH284" s="2">
        <v>304.34429999999998</v>
      </c>
      <c r="AI284" s="1">
        <v>45504</v>
      </c>
      <c r="AJ284" s="2">
        <v>711.93960000000004</v>
      </c>
      <c r="AK284" s="1">
        <v>45138</v>
      </c>
      <c r="AL284" s="2">
        <v>9499.52</v>
      </c>
      <c r="AM284" s="1">
        <v>45138</v>
      </c>
      <c r="AN284" s="2">
        <v>3949.41</v>
      </c>
      <c r="AO284" s="1">
        <v>45138</v>
      </c>
      <c r="AP284" s="2">
        <v>4484</v>
      </c>
      <c r="AQ284" s="1">
        <v>45138</v>
      </c>
      <c r="AR284" s="2">
        <v>3387.25</v>
      </c>
      <c r="AS284" s="1">
        <v>45138</v>
      </c>
      <c r="AT284" s="2">
        <v>11936.64</v>
      </c>
      <c r="AU284" s="2">
        <v>45138</v>
      </c>
      <c r="AV284" s="2">
        <v>8975.3700000000008</v>
      </c>
      <c r="BC284" s="1">
        <v>45138</v>
      </c>
      <c r="BD284" s="2">
        <v>1.04</v>
      </c>
      <c r="BE284" s="1">
        <v>45138</v>
      </c>
      <c r="BF284" s="2">
        <v>-22.041</v>
      </c>
      <c r="BG284" s="2">
        <v>45138</v>
      </c>
      <c r="BH284" s="2">
        <v>-147.25899999999999</v>
      </c>
      <c r="BI284" s="1">
        <v>45138</v>
      </c>
      <c r="BJ284" s="2">
        <v>-16.959</v>
      </c>
      <c r="BK284" s="1">
        <v>45138</v>
      </c>
      <c r="BL284" s="2">
        <v>851.99159999999995</v>
      </c>
      <c r="BM284" s="1"/>
      <c r="BO284" s="1"/>
    </row>
    <row r="285" spans="1:67" x14ac:dyDescent="0.25">
      <c r="A285" s="1">
        <v>45169</v>
      </c>
      <c r="B285" s="2">
        <v>3783.1129999999998</v>
      </c>
      <c r="C285" s="1">
        <v>45169</v>
      </c>
      <c r="D285" s="2">
        <v>290.94940000000003</v>
      </c>
      <c r="E285" s="1">
        <v>45169</v>
      </c>
      <c r="F285" s="2">
        <v>234.864</v>
      </c>
      <c r="G285" s="1">
        <v>45169</v>
      </c>
      <c r="H285" s="2">
        <v>246.07244</v>
      </c>
      <c r="I285" s="1">
        <v>45198</v>
      </c>
      <c r="J285" s="2">
        <v>160.25710000000001</v>
      </c>
      <c r="K285" s="1">
        <v>45169</v>
      </c>
      <c r="L285" s="2">
        <v>161.5728</v>
      </c>
      <c r="M285" s="1">
        <v>45169</v>
      </c>
      <c r="N285" s="2">
        <v>191.08779999999999</v>
      </c>
      <c r="O285" s="1">
        <v>45198</v>
      </c>
      <c r="P285" s="2">
        <v>139.75229999999999</v>
      </c>
      <c r="Q285" s="1">
        <v>45169</v>
      </c>
      <c r="R285" s="2">
        <v>171.77879999999999</v>
      </c>
      <c r="S285" s="1">
        <v>45169</v>
      </c>
      <c r="T285" s="2">
        <v>538.7518</v>
      </c>
      <c r="U285" s="1">
        <v>45169</v>
      </c>
      <c r="V285" s="2">
        <v>322.22879999999998</v>
      </c>
      <c r="W285" s="1">
        <v>45169</v>
      </c>
      <c r="X285" s="2">
        <v>2046.95</v>
      </c>
      <c r="Y285" s="1">
        <v>45169</v>
      </c>
      <c r="Z285" s="2">
        <v>-75.891000000000005</v>
      </c>
      <c r="AA285" s="1">
        <v>45534</v>
      </c>
      <c r="AB285" s="2">
        <v>462.62329999999997</v>
      </c>
      <c r="AC285" s="1">
        <v>45169</v>
      </c>
      <c r="AD285" s="2">
        <v>274.82440000000003</v>
      </c>
      <c r="AE285" s="1">
        <v>45534</v>
      </c>
      <c r="AF285" s="2">
        <v>241.35919999999999</v>
      </c>
      <c r="AG285" s="1">
        <v>45534</v>
      </c>
      <c r="AH285" s="2">
        <v>290.50599999999997</v>
      </c>
      <c r="AI285" s="1">
        <v>45534</v>
      </c>
      <c r="AJ285" s="2">
        <v>725.90930000000003</v>
      </c>
      <c r="AK285" s="1">
        <v>45169</v>
      </c>
      <c r="AL285" s="2">
        <v>9272.6200000000008</v>
      </c>
      <c r="AM285" s="1">
        <v>45169</v>
      </c>
      <c r="AN285" s="2">
        <v>3911.34</v>
      </c>
      <c r="AO285" s="1">
        <v>45169</v>
      </c>
      <c r="AP285" s="2">
        <v>4416.25</v>
      </c>
      <c r="AQ285" s="1">
        <v>45169</v>
      </c>
      <c r="AR285" s="2">
        <v>3343.92</v>
      </c>
      <c r="AS285" s="1">
        <v>45169</v>
      </c>
      <c r="AT285" s="2">
        <v>11606.98</v>
      </c>
      <c r="AU285" s="2">
        <v>45169</v>
      </c>
      <c r="AV285" s="2">
        <v>8791.6200000000008</v>
      </c>
      <c r="BC285" s="1">
        <v>45169</v>
      </c>
      <c r="BD285" s="2">
        <v>1.0900000000000001</v>
      </c>
      <c r="BE285" s="1">
        <v>45169</v>
      </c>
      <c r="BF285" s="2">
        <v>-14.771000000000001</v>
      </c>
      <c r="BG285" s="2">
        <v>45169</v>
      </c>
      <c r="BH285" s="2">
        <v>-135.84700000000001</v>
      </c>
      <c r="BI285" s="1">
        <v>45169</v>
      </c>
      <c r="BJ285" s="2">
        <v>-4.4189999999999996</v>
      </c>
      <c r="BK285" s="1">
        <v>45169</v>
      </c>
      <c r="BL285" s="2">
        <v>840.18489999999997</v>
      </c>
      <c r="BM285" s="1"/>
      <c r="BO285" s="1"/>
    </row>
    <row r="286" spans="1:67" x14ac:dyDescent="0.25">
      <c r="A286" s="1">
        <v>45198</v>
      </c>
      <c r="B286" s="2">
        <v>3911.5590000000002</v>
      </c>
      <c r="C286" s="1">
        <v>45198</v>
      </c>
      <c r="D286" s="2">
        <v>291.94560000000001</v>
      </c>
      <c r="E286" s="1">
        <v>45198</v>
      </c>
      <c r="F286" s="2">
        <v>240.262</v>
      </c>
      <c r="G286" s="1">
        <v>45198</v>
      </c>
      <c r="H286" s="2">
        <v>241.72622999999999</v>
      </c>
      <c r="I286" s="1">
        <v>45230</v>
      </c>
      <c r="J286" s="2">
        <v>160.60050000000001</v>
      </c>
      <c r="K286" s="1">
        <v>45198</v>
      </c>
      <c r="L286" s="2">
        <v>160.76740000000001</v>
      </c>
      <c r="M286" s="1">
        <v>45198</v>
      </c>
      <c r="N286" s="2">
        <v>196.8965</v>
      </c>
      <c r="O286" s="1">
        <v>45230</v>
      </c>
      <c r="P286" s="2">
        <v>138.506</v>
      </c>
      <c r="Q286" s="1">
        <v>45198</v>
      </c>
      <c r="R286" s="2">
        <v>171.30189999999999</v>
      </c>
      <c r="S286" s="1">
        <v>45198</v>
      </c>
      <c r="T286" s="2">
        <v>529.46100000000001</v>
      </c>
      <c r="U286" s="1">
        <v>45198</v>
      </c>
      <c r="V286" s="2">
        <v>309.21879999999999</v>
      </c>
      <c r="W286" s="1">
        <v>45198</v>
      </c>
      <c r="X286" s="2">
        <v>1981.73</v>
      </c>
      <c r="Y286" s="1">
        <v>45198</v>
      </c>
      <c r="Z286" s="2">
        <v>-47.661999999999999</v>
      </c>
      <c r="AA286" s="1">
        <v>45565</v>
      </c>
      <c r="AB286" s="2">
        <v>476.38690000000003</v>
      </c>
      <c r="AC286" s="1">
        <v>45198</v>
      </c>
      <c r="AD286" s="2">
        <v>271.21539999999999</v>
      </c>
      <c r="AE286" s="1">
        <v>45565</v>
      </c>
      <c r="AF286" s="2">
        <v>256.46359999999999</v>
      </c>
      <c r="AG286" s="1">
        <v>45565</v>
      </c>
      <c r="AH286" s="2">
        <v>279.89010000000002</v>
      </c>
      <c r="AI286" s="1">
        <v>45565</v>
      </c>
      <c r="AJ286" s="2">
        <v>770.61379999999997</v>
      </c>
      <c r="AK286" s="1">
        <v>45198</v>
      </c>
      <c r="AL286" s="2">
        <v>8872.61</v>
      </c>
      <c r="AM286" s="1">
        <v>45198</v>
      </c>
      <c r="AN286" s="2">
        <v>3716.25</v>
      </c>
      <c r="AO286" s="1">
        <v>45198</v>
      </c>
      <c r="AP286" s="2">
        <v>4296.08</v>
      </c>
      <c r="AQ286" s="1">
        <v>45198</v>
      </c>
      <c r="AR286" s="2">
        <v>3206.61</v>
      </c>
      <c r="AS286" s="1">
        <v>45198</v>
      </c>
      <c r="AT286" s="2">
        <v>11279.23</v>
      </c>
      <c r="AU286" s="2">
        <v>45198</v>
      </c>
      <c r="AV286" s="2">
        <v>8293.74</v>
      </c>
      <c r="BC286" s="1">
        <v>45198</v>
      </c>
      <c r="BD286" s="2">
        <v>1.1200000000000001</v>
      </c>
      <c r="BE286" s="1">
        <v>45198</v>
      </c>
      <c r="BF286" s="2">
        <v>-4.1440000000000001</v>
      </c>
      <c r="BG286" s="2">
        <v>45198</v>
      </c>
      <c r="BH286" s="2">
        <v>-88.522000000000006</v>
      </c>
      <c r="BI286" s="1">
        <v>45198</v>
      </c>
      <c r="BJ286" s="2">
        <v>8.6620000000000008</v>
      </c>
      <c r="BK286" s="1">
        <v>45198</v>
      </c>
      <c r="BL286" s="2">
        <v>812.9248</v>
      </c>
      <c r="BM286" s="1"/>
      <c r="BO286" s="1"/>
    </row>
    <row r="287" spans="1:67" x14ac:dyDescent="0.25">
      <c r="A287" s="1">
        <v>45230</v>
      </c>
      <c r="B287" s="2">
        <v>3916.0309999999999</v>
      </c>
      <c r="C287" s="1">
        <v>45230</v>
      </c>
      <c r="D287" s="2">
        <v>294.9171</v>
      </c>
      <c r="E287" s="1">
        <v>45230</v>
      </c>
      <c r="F287" s="2">
        <v>238.88300000000001</v>
      </c>
      <c r="G287" s="1">
        <v>45230</v>
      </c>
      <c r="H287" s="2">
        <v>242.17750000000001</v>
      </c>
      <c r="I287" s="1">
        <v>45260</v>
      </c>
      <c r="J287" s="2">
        <v>158.09469999999999</v>
      </c>
      <c r="K287" s="1">
        <v>45230</v>
      </c>
      <c r="L287" s="2">
        <v>161.33330000000001</v>
      </c>
      <c r="M287" s="1">
        <v>45230</v>
      </c>
      <c r="N287" s="2">
        <v>198.4881</v>
      </c>
      <c r="O287" s="1">
        <v>45260</v>
      </c>
      <c r="P287" s="2">
        <v>138.19380000000001</v>
      </c>
      <c r="Q287" s="1">
        <v>45230</v>
      </c>
      <c r="R287" s="2">
        <v>172.65520000000001</v>
      </c>
      <c r="S287" s="1">
        <v>45230</v>
      </c>
      <c r="T287" s="2">
        <v>525.70169999999996</v>
      </c>
      <c r="U287" s="1">
        <v>45230</v>
      </c>
      <c r="V287" s="2">
        <v>306.14420000000001</v>
      </c>
      <c r="W287" s="1">
        <v>45230</v>
      </c>
      <c r="X287" s="2">
        <v>1940.79</v>
      </c>
      <c r="Y287" s="1">
        <v>45230</v>
      </c>
      <c r="Z287" s="2">
        <v>-16.079999999999998</v>
      </c>
      <c r="AA287" s="1">
        <v>45596</v>
      </c>
      <c r="AB287" s="2">
        <v>472.75749999999999</v>
      </c>
      <c r="AC287" s="1">
        <v>45230</v>
      </c>
      <c r="AD287" s="2">
        <v>269.95460000000003</v>
      </c>
      <c r="AE287" s="1">
        <v>45596</v>
      </c>
      <c r="AF287" s="2">
        <v>249.48009999999999</v>
      </c>
      <c r="AG287" s="1">
        <v>45596</v>
      </c>
      <c r="AH287" s="2">
        <v>279.94459999999998</v>
      </c>
      <c r="AI287" s="1">
        <v>45596</v>
      </c>
      <c r="AJ287" s="2">
        <v>801.88480000000004</v>
      </c>
      <c r="AK287" s="1">
        <v>45230</v>
      </c>
      <c r="AL287" s="2">
        <v>8615.17</v>
      </c>
      <c r="AM287" s="1">
        <v>45230</v>
      </c>
      <c r="AN287" s="2">
        <v>3651.65</v>
      </c>
      <c r="AO287" s="1">
        <v>45230</v>
      </c>
      <c r="AP287" s="2">
        <v>4235.57</v>
      </c>
      <c r="AQ287" s="1">
        <v>45230</v>
      </c>
      <c r="AR287" s="2">
        <v>3149.18</v>
      </c>
      <c r="AS287" s="1">
        <v>45230</v>
      </c>
      <c r="AT287" s="2">
        <v>10893.8</v>
      </c>
      <c r="AU287" s="2">
        <v>45230</v>
      </c>
      <c r="AV287" s="2">
        <v>8093</v>
      </c>
      <c r="BC287" s="1">
        <v>45230</v>
      </c>
      <c r="BD287" s="2">
        <v>1.19</v>
      </c>
      <c r="BE287" s="1">
        <v>45230</v>
      </c>
      <c r="BF287" s="2">
        <v>7.5309999999999997</v>
      </c>
      <c r="BG287" s="2">
        <v>45230</v>
      </c>
      <c r="BH287" s="2">
        <v>-54.466999999999999</v>
      </c>
      <c r="BI287" s="1">
        <v>45230</v>
      </c>
      <c r="BJ287" s="2">
        <v>23.774000000000001</v>
      </c>
      <c r="BK287" s="1">
        <v>45230</v>
      </c>
      <c r="BL287" s="2">
        <v>804.0009</v>
      </c>
      <c r="BM287" s="1"/>
      <c r="BO287" s="1"/>
    </row>
    <row r="288" spans="1:67" x14ac:dyDescent="0.25">
      <c r="A288" s="1">
        <v>45260</v>
      </c>
      <c r="B288" s="2">
        <v>3725.2489999999998</v>
      </c>
      <c r="C288" s="1">
        <v>45260</v>
      </c>
      <c r="D288" s="2">
        <v>292.77269999999999</v>
      </c>
      <c r="E288" s="1">
        <v>45260</v>
      </c>
      <c r="F288" s="2">
        <v>239.94499999999999</v>
      </c>
      <c r="G288" s="1">
        <v>45260</v>
      </c>
      <c r="H288" s="2">
        <v>248.30904000000001</v>
      </c>
      <c r="I288" s="1">
        <v>45289</v>
      </c>
      <c r="J288" s="2">
        <v>157.9385</v>
      </c>
      <c r="K288" s="1">
        <v>45260</v>
      </c>
      <c r="L288" s="2">
        <v>159.3716</v>
      </c>
      <c r="M288" s="1">
        <v>45260</v>
      </c>
      <c r="N288" s="2">
        <v>192.4957</v>
      </c>
      <c r="O288" s="1">
        <v>45289</v>
      </c>
      <c r="P288" s="2">
        <v>137.45070000000001</v>
      </c>
      <c r="Q288" s="1">
        <v>45260</v>
      </c>
      <c r="R288" s="2">
        <v>168.83090000000001</v>
      </c>
      <c r="S288" s="1">
        <v>45260</v>
      </c>
      <c r="T288" s="2">
        <v>543.77689999999996</v>
      </c>
      <c r="U288" s="1">
        <v>45260</v>
      </c>
      <c r="V288" s="2">
        <v>321.4393</v>
      </c>
      <c r="W288" s="1">
        <v>45260</v>
      </c>
      <c r="X288" s="2">
        <v>2041.96</v>
      </c>
      <c r="Y288" s="1">
        <v>45260</v>
      </c>
      <c r="Z288" s="2">
        <v>-35.796999999999997</v>
      </c>
      <c r="AA288" s="1">
        <v>45625</v>
      </c>
      <c r="AB288" s="2">
        <v>470.49930000000001</v>
      </c>
      <c r="AC288" s="1">
        <v>45260</v>
      </c>
      <c r="AD288" s="2">
        <v>264.35980000000001</v>
      </c>
      <c r="AE288" s="1">
        <v>45625</v>
      </c>
      <c r="AF288" s="2">
        <v>252.7473</v>
      </c>
      <c r="AG288" s="1">
        <v>45625</v>
      </c>
      <c r="AH288" s="2">
        <v>281.24700000000001</v>
      </c>
      <c r="AI288" s="1">
        <v>45625</v>
      </c>
      <c r="AJ288" s="2">
        <v>772.61900000000003</v>
      </c>
      <c r="AK288" s="1">
        <v>45260</v>
      </c>
      <c r="AL288" s="2">
        <v>9422.86</v>
      </c>
      <c r="AM288" s="1">
        <v>45260</v>
      </c>
      <c r="AN288" s="2">
        <v>3983.24</v>
      </c>
      <c r="AO288" s="1">
        <v>45260</v>
      </c>
      <c r="AP288" s="2">
        <v>4465.49</v>
      </c>
      <c r="AQ288" s="1">
        <v>45260</v>
      </c>
      <c r="AR288" s="2">
        <v>3442.15</v>
      </c>
      <c r="AS288" s="1">
        <v>45260</v>
      </c>
      <c r="AT288" s="2">
        <v>11698.12</v>
      </c>
      <c r="AU288" s="2">
        <v>45260</v>
      </c>
      <c r="AV288" s="2">
        <v>9000.3799999999992</v>
      </c>
      <c r="BC288" s="1">
        <v>45260</v>
      </c>
      <c r="BD288" s="2">
        <v>0.97</v>
      </c>
      <c r="BE288" s="1">
        <v>45260</v>
      </c>
      <c r="BF288" s="2">
        <v>5.83</v>
      </c>
      <c r="BG288" s="2">
        <v>45260</v>
      </c>
      <c r="BH288" s="2">
        <v>-107.429</v>
      </c>
      <c r="BI288" s="1">
        <v>45260</v>
      </c>
      <c r="BJ288" s="2">
        <v>22.513999999999999</v>
      </c>
      <c r="BK288" s="1">
        <v>45260</v>
      </c>
      <c r="BL288" s="2">
        <v>843.24480000000005</v>
      </c>
      <c r="BM288" s="1"/>
      <c r="BO288" s="1"/>
    </row>
    <row r="289" spans="1:67" x14ac:dyDescent="0.25">
      <c r="A289" s="1">
        <v>45289</v>
      </c>
      <c r="B289" s="2">
        <v>3713.2139999999999</v>
      </c>
      <c r="C289" s="1">
        <v>45289</v>
      </c>
      <c r="D289" s="2">
        <v>289.5421</v>
      </c>
      <c r="E289" s="1">
        <v>45289</v>
      </c>
      <c r="F289" s="2">
        <v>235.22399999999999</v>
      </c>
      <c r="G289" s="1">
        <v>45289</v>
      </c>
      <c r="H289" s="2">
        <v>252.56222</v>
      </c>
      <c r="I289" s="1">
        <v>45322</v>
      </c>
      <c r="J289" s="2">
        <v>157.40719999999999</v>
      </c>
      <c r="K289" s="1">
        <v>45289</v>
      </c>
      <c r="L289" s="2">
        <v>160.9913</v>
      </c>
      <c r="M289" s="1">
        <v>45289</v>
      </c>
      <c r="N289" s="2">
        <v>191.09180000000001</v>
      </c>
      <c r="O289" s="1">
        <v>45322</v>
      </c>
      <c r="P289" s="2">
        <v>137.10769999999999</v>
      </c>
      <c r="Q289" s="1">
        <v>45289</v>
      </c>
      <c r="R289" s="2">
        <v>168.4462</v>
      </c>
      <c r="S289" s="1">
        <v>45289</v>
      </c>
      <c r="T289" s="2">
        <v>561.15509999999995</v>
      </c>
      <c r="U289" s="1">
        <v>45289</v>
      </c>
      <c r="V289" s="2">
        <v>335.72370000000001</v>
      </c>
      <c r="W289" s="1">
        <v>45289</v>
      </c>
      <c r="X289" s="2">
        <v>2129.96</v>
      </c>
      <c r="Y289" s="1">
        <v>45289</v>
      </c>
      <c r="Z289" s="2">
        <v>-37.287999999999997</v>
      </c>
      <c r="AA289" s="1">
        <v>45657</v>
      </c>
      <c r="AB289" s="2">
        <v>474.06889999999999</v>
      </c>
      <c r="AC289" s="1">
        <v>45289</v>
      </c>
      <c r="AD289" s="2">
        <v>256.74689999999998</v>
      </c>
      <c r="AE289" s="1">
        <v>45657</v>
      </c>
      <c r="AF289" s="2">
        <v>254.18020000000001</v>
      </c>
      <c r="AG289" s="1">
        <v>45657</v>
      </c>
      <c r="AH289" s="2">
        <v>294.24950000000001</v>
      </c>
      <c r="AI289" s="1">
        <v>45657</v>
      </c>
      <c r="AJ289" s="2">
        <v>758.053</v>
      </c>
      <c r="AK289" s="1">
        <v>45289</v>
      </c>
      <c r="AL289" s="2">
        <v>9885.4599999999991</v>
      </c>
      <c r="AM289" s="1">
        <v>45289</v>
      </c>
      <c r="AN289" s="2">
        <v>4179.05</v>
      </c>
      <c r="AO289" s="1">
        <v>45289</v>
      </c>
      <c r="AP289" s="2">
        <v>4583.58</v>
      </c>
      <c r="AQ289" s="1">
        <v>45289</v>
      </c>
      <c r="AR289" s="2">
        <v>3594.59</v>
      </c>
      <c r="AS289" s="1">
        <v>45289</v>
      </c>
      <c r="AT289" s="2">
        <v>12328.33</v>
      </c>
      <c r="AU289" s="2">
        <v>45289</v>
      </c>
      <c r="AV289" s="2">
        <v>9400.65</v>
      </c>
      <c r="BC289" s="1">
        <v>45289</v>
      </c>
      <c r="BD289" s="2">
        <v>0.93</v>
      </c>
      <c r="BE289" s="1">
        <v>45289</v>
      </c>
      <c r="BF289" s="2">
        <v>3.024</v>
      </c>
      <c r="BG289" s="2">
        <v>45289</v>
      </c>
      <c r="BH289" s="2">
        <v>-147.672</v>
      </c>
      <c r="BI289" s="1">
        <v>45289</v>
      </c>
      <c r="BJ289" s="2">
        <v>17.850999999999999</v>
      </c>
      <c r="BK289" s="1">
        <v>45289</v>
      </c>
      <c r="BL289" s="2">
        <v>878.63369999999998</v>
      </c>
      <c r="BM289" s="1"/>
      <c r="BO289" s="1"/>
    </row>
    <row r="290" spans="1:67" x14ac:dyDescent="0.25">
      <c r="A290" s="1">
        <v>45322</v>
      </c>
      <c r="B290" s="2">
        <v>3759.4360000000001</v>
      </c>
      <c r="C290" s="1">
        <v>45322</v>
      </c>
      <c r="D290" s="2">
        <v>295.11590000000001</v>
      </c>
      <c r="E290" s="1">
        <v>45322</v>
      </c>
      <c r="F290" s="2">
        <v>239.54599999999999</v>
      </c>
      <c r="G290" s="1">
        <v>45322</v>
      </c>
      <c r="H290" s="2">
        <v>250.15810999999999</v>
      </c>
      <c r="I290" s="1">
        <v>45351</v>
      </c>
      <c r="J290" s="2">
        <v>158.18340000000001</v>
      </c>
      <c r="K290" s="1">
        <v>45322</v>
      </c>
      <c r="L290" s="2">
        <v>161.9716</v>
      </c>
      <c r="M290" s="1">
        <v>45322</v>
      </c>
      <c r="N290" s="2">
        <v>189.10740000000001</v>
      </c>
      <c r="O290" s="1">
        <v>45351</v>
      </c>
      <c r="P290" s="2">
        <v>137.27699999999999</v>
      </c>
      <c r="Q290" s="1">
        <v>45322</v>
      </c>
      <c r="R290" s="2">
        <v>167.12540000000001</v>
      </c>
      <c r="S290" s="1">
        <v>45322</v>
      </c>
      <c r="T290" s="2">
        <v>560.05520000000001</v>
      </c>
      <c r="U290" s="1">
        <v>45322</v>
      </c>
      <c r="V290" s="2">
        <v>329.06</v>
      </c>
      <c r="W290" s="1">
        <v>45322</v>
      </c>
      <c r="X290" s="2">
        <v>2120.11</v>
      </c>
      <c r="Y290" s="1">
        <v>45322</v>
      </c>
      <c r="Z290" s="2">
        <v>-29.844000000000001</v>
      </c>
      <c r="AA290" s="1">
        <v>45688</v>
      </c>
      <c r="AB290" s="2">
        <v>491.60829999999999</v>
      </c>
      <c r="AC290" s="1">
        <v>45322</v>
      </c>
      <c r="AD290" s="2">
        <v>255.00389999999999</v>
      </c>
      <c r="AE290" s="1">
        <v>45688</v>
      </c>
      <c r="AF290" s="2">
        <v>265.94650000000001</v>
      </c>
      <c r="AG290" s="1">
        <v>45688</v>
      </c>
      <c r="AH290" s="2">
        <v>300.59300000000002</v>
      </c>
      <c r="AI290" s="1">
        <v>45688</v>
      </c>
      <c r="AJ290" s="2">
        <v>814.66099999999994</v>
      </c>
      <c r="AK290" s="1">
        <v>45322</v>
      </c>
      <c r="AL290" s="2">
        <v>10004.09</v>
      </c>
      <c r="AM290" s="1">
        <v>45322</v>
      </c>
      <c r="AN290" s="2">
        <v>4298.28</v>
      </c>
      <c r="AO290" s="1">
        <v>45322</v>
      </c>
      <c r="AP290" s="2">
        <v>4683.8900000000003</v>
      </c>
      <c r="AQ290" s="1">
        <v>45322</v>
      </c>
      <c r="AR290" s="2">
        <v>3795.38</v>
      </c>
      <c r="AS290" s="1">
        <v>45322</v>
      </c>
      <c r="AT290" s="2">
        <v>12360.13</v>
      </c>
      <c r="AU290" s="2">
        <v>45322</v>
      </c>
      <c r="AV290" s="2">
        <v>9599.81</v>
      </c>
      <c r="BC290" s="1">
        <v>45322</v>
      </c>
      <c r="BD290" s="2">
        <v>0.9</v>
      </c>
      <c r="BE290" s="1">
        <v>45322</v>
      </c>
      <c r="BF290" s="2">
        <v>7.7009999999999996</v>
      </c>
      <c r="BG290" s="2">
        <v>45322</v>
      </c>
      <c r="BH290" s="2">
        <v>-146.29900000000001</v>
      </c>
      <c r="BI290" s="1">
        <v>45322</v>
      </c>
      <c r="BJ290" s="2">
        <v>33.328000000000003</v>
      </c>
      <c r="BK290" s="1">
        <v>45322</v>
      </c>
      <c r="BL290" s="2">
        <v>864.98929999999996</v>
      </c>
      <c r="BM290" s="1"/>
      <c r="BO290" s="1"/>
    </row>
    <row r="291" spans="1:67" x14ac:dyDescent="0.25">
      <c r="A291" s="1">
        <v>45351</v>
      </c>
      <c r="B291" s="2">
        <v>4002.04</v>
      </c>
      <c r="C291" s="1">
        <v>45351</v>
      </c>
      <c r="D291" s="2">
        <v>297.37790000000001</v>
      </c>
      <c r="E291" s="1">
        <v>45351</v>
      </c>
      <c r="F291" s="2">
        <v>243.441</v>
      </c>
      <c r="G291" s="1">
        <v>45351</v>
      </c>
      <c r="H291" s="2">
        <v>249.25826000000001</v>
      </c>
      <c r="I291" s="1">
        <v>45380</v>
      </c>
      <c r="J291" s="2">
        <v>158.93709999999999</v>
      </c>
      <c r="K291" s="1">
        <v>45351</v>
      </c>
      <c r="L291" s="2">
        <v>164.97229999999999</v>
      </c>
      <c r="M291" s="1">
        <v>45351</v>
      </c>
      <c r="N291" s="2">
        <v>188.9699</v>
      </c>
      <c r="O291" s="1">
        <v>45380</v>
      </c>
      <c r="P291" s="2">
        <v>136.6831</v>
      </c>
      <c r="Q291" s="1">
        <v>45351</v>
      </c>
      <c r="R291" s="2">
        <v>167.10890000000001</v>
      </c>
      <c r="S291" s="1">
        <v>45351</v>
      </c>
      <c r="T291" s="2">
        <v>556.21230000000003</v>
      </c>
      <c r="U291" s="1">
        <v>45351</v>
      </c>
      <c r="V291" s="2">
        <v>326.00720000000001</v>
      </c>
      <c r="W291" s="1">
        <v>45351</v>
      </c>
      <c r="X291" s="2">
        <v>2085.62</v>
      </c>
      <c r="Y291" s="1">
        <v>45351</v>
      </c>
      <c r="Z291" s="2">
        <v>-37.063000000000002</v>
      </c>
      <c r="AA291" s="1">
        <v>45716</v>
      </c>
      <c r="AB291" s="2">
        <v>489.03859999999997</v>
      </c>
      <c r="AC291" s="1">
        <v>45351</v>
      </c>
      <c r="AD291" s="2">
        <v>250.2784</v>
      </c>
      <c r="AE291" s="1">
        <v>45716</v>
      </c>
      <c r="AF291" s="2">
        <v>261.2167</v>
      </c>
      <c r="AG291" s="1">
        <v>45716</v>
      </c>
      <c r="AH291" s="2">
        <v>297.25360000000001</v>
      </c>
      <c r="AI291" s="1">
        <v>45716</v>
      </c>
      <c r="AJ291" s="2">
        <v>815.31479999999999</v>
      </c>
      <c r="AK291" s="1">
        <v>45351</v>
      </c>
      <c r="AL291" s="2">
        <v>10428.24</v>
      </c>
      <c r="AM291" s="1">
        <v>45351</v>
      </c>
      <c r="AN291" s="2">
        <v>4546.42</v>
      </c>
      <c r="AO291" s="1">
        <v>45351</v>
      </c>
      <c r="AP291" s="2">
        <v>4726.42</v>
      </c>
      <c r="AQ291" s="1">
        <v>45351</v>
      </c>
      <c r="AR291" s="2">
        <v>4138.2</v>
      </c>
      <c r="AS291" s="1">
        <v>45351</v>
      </c>
      <c r="AT291" s="2">
        <v>12658.49</v>
      </c>
      <c r="AU291" s="2">
        <v>45351</v>
      </c>
      <c r="AV291" s="2">
        <v>10174.620000000001</v>
      </c>
      <c r="BC291" s="1">
        <v>45351</v>
      </c>
      <c r="BD291" s="2">
        <v>0.9</v>
      </c>
      <c r="BE291" s="1">
        <v>45351</v>
      </c>
      <c r="BF291" s="2">
        <v>0.36899999999999999</v>
      </c>
      <c r="BG291" s="2">
        <v>45351</v>
      </c>
      <c r="BH291" s="2">
        <v>-113.745</v>
      </c>
      <c r="BI291" s="1">
        <v>45351</v>
      </c>
      <c r="BJ291" s="2">
        <v>13.239000000000001</v>
      </c>
      <c r="BK291" s="1">
        <v>45351</v>
      </c>
      <c r="BL291" s="2">
        <v>853.73080000000004</v>
      </c>
      <c r="BM291" s="1"/>
      <c r="BO291" s="1"/>
    </row>
    <row r="292" spans="1:67" x14ac:dyDescent="0.25">
      <c r="A292" s="1">
        <v>45380</v>
      </c>
      <c r="B292" s="2">
        <v>4169.683</v>
      </c>
      <c r="C292" s="1">
        <v>45380</v>
      </c>
      <c r="D292" s="2">
        <v>301.79599999999999</v>
      </c>
      <c r="E292" s="1">
        <v>45380</v>
      </c>
      <c r="F292" s="2">
        <v>245.35900000000001</v>
      </c>
      <c r="G292" s="1">
        <v>45380</v>
      </c>
      <c r="H292" s="2">
        <v>250.64478</v>
      </c>
      <c r="I292" s="1">
        <v>45412</v>
      </c>
      <c r="J292" s="2">
        <v>158.965</v>
      </c>
      <c r="K292" s="1">
        <v>45380</v>
      </c>
      <c r="L292" s="2">
        <v>168.98060000000001</v>
      </c>
      <c r="M292" s="1">
        <v>45380</v>
      </c>
      <c r="N292" s="2">
        <v>188.10329999999999</v>
      </c>
      <c r="O292" s="1">
        <v>45412</v>
      </c>
      <c r="P292" s="2">
        <v>136.8389</v>
      </c>
      <c r="Q292" s="1">
        <v>45380</v>
      </c>
      <c r="R292" s="2">
        <v>167.29939999999999</v>
      </c>
      <c r="S292" s="1">
        <v>45380</v>
      </c>
      <c r="T292" s="2">
        <v>561.22789999999998</v>
      </c>
      <c r="U292" s="1">
        <v>45380</v>
      </c>
      <c r="V292" s="2">
        <v>329.69889999999998</v>
      </c>
      <c r="W292" s="1">
        <v>45380</v>
      </c>
      <c r="X292" s="2">
        <v>2107.71</v>
      </c>
      <c r="Y292" s="1">
        <v>45380</v>
      </c>
      <c r="Z292" s="2">
        <v>-42.173000000000002</v>
      </c>
      <c r="AA292" s="1">
        <v>45747</v>
      </c>
      <c r="AB292" s="2">
        <v>507.95600000000002</v>
      </c>
      <c r="AC292" s="1">
        <v>45380</v>
      </c>
      <c r="AD292" s="2">
        <v>258.8134</v>
      </c>
      <c r="AE292" s="1">
        <v>45747</v>
      </c>
      <c r="AF292" s="2">
        <v>263.40230000000003</v>
      </c>
      <c r="AG292" s="1">
        <v>45747</v>
      </c>
      <c r="AH292" s="2">
        <v>306.2183</v>
      </c>
      <c r="AI292" s="1">
        <v>45747</v>
      </c>
      <c r="AJ292" s="2">
        <v>896.30870000000004</v>
      </c>
      <c r="AK292" s="1">
        <v>45380</v>
      </c>
      <c r="AL292" s="2">
        <v>10763.35</v>
      </c>
      <c r="AM292" s="1">
        <v>45380</v>
      </c>
      <c r="AN292" s="2">
        <v>4662.68</v>
      </c>
      <c r="AO292" s="1">
        <v>45380</v>
      </c>
      <c r="AP292" s="2">
        <v>4841.6899999999996</v>
      </c>
      <c r="AQ292" s="1">
        <v>45380</v>
      </c>
      <c r="AR292" s="2">
        <v>4317.5200000000004</v>
      </c>
      <c r="AS292" s="1">
        <v>45380</v>
      </c>
      <c r="AT292" s="2">
        <v>13251.74</v>
      </c>
      <c r="AU292" s="2">
        <v>45380</v>
      </c>
      <c r="AV292" s="2">
        <v>10363.02</v>
      </c>
      <c r="BC292" s="1">
        <v>45380</v>
      </c>
      <c r="BD292" s="2">
        <v>0.85</v>
      </c>
      <c r="BE292" s="1">
        <v>45380</v>
      </c>
      <c r="BF292" s="2">
        <v>-1.391</v>
      </c>
      <c r="BG292" s="2">
        <v>45380</v>
      </c>
      <c r="BH292" s="2">
        <v>-117.97</v>
      </c>
      <c r="BI292" s="1">
        <v>45380</v>
      </c>
      <c r="BJ292" s="2">
        <v>12.843999999999999</v>
      </c>
      <c r="BK292" s="1">
        <v>45380</v>
      </c>
      <c r="BL292" s="2">
        <v>857.39030000000002</v>
      </c>
      <c r="BM292" s="1"/>
      <c r="BO292" s="1"/>
    </row>
    <row r="293" spans="1:67" x14ac:dyDescent="0.25">
      <c r="A293" s="1">
        <v>45412</v>
      </c>
      <c r="B293" s="2">
        <v>4247.0330000000004</v>
      </c>
      <c r="C293" s="1">
        <v>45412</v>
      </c>
      <c r="D293" s="2">
        <v>307.69209999999998</v>
      </c>
      <c r="E293" s="1">
        <v>45412</v>
      </c>
      <c r="F293" s="2">
        <v>249.833</v>
      </c>
      <c r="G293" s="1">
        <v>45412</v>
      </c>
      <c r="H293" s="2">
        <v>249.09137000000001</v>
      </c>
      <c r="I293" s="1">
        <v>45443</v>
      </c>
      <c r="J293" s="2">
        <v>159.0557</v>
      </c>
      <c r="K293" s="1">
        <v>45412</v>
      </c>
      <c r="L293" s="2">
        <v>165.37010000000001</v>
      </c>
      <c r="M293" s="1">
        <v>45412</v>
      </c>
      <c r="N293" s="2">
        <v>191.2216</v>
      </c>
      <c r="O293" s="1">
        <v>45443</v>
      </c>
      <c r="P293" s="2">
        <v>136.6138</v>
      </c>
      <c r="Q293" s="1">
        <v>45412</v>
      </c>
      <c r="R293" s="2">
        <v>168.94739999999999</v>
      </c>
      <c r="S293" s="1">
        <v>45412</v>
      </c>
      <c r="T293" s="2">
        <v>552.19179999999994</v>
      </c>
      <c r="U293" s="1">
        <v>45412</v>
      </c>
      <c r="V293" s="2">
        <v>321.26569999999998</v>
      </c>
      <c r="W293" s="1">
        <v>45412</v>
      </c>
      <c r="X293" s="2">
        <v>2043.94</v>
      </c>
      <c r="Y293" s="1">
        <v>45412</v>
      </c>
      <c r="Z293" s="2">
        <v>-35.734999999999999</v>
      </c>
      <c r="AA293" s="1">
        <v>45777</v>
      </c>
      <c r="AB293" s="2">
        <v>481.40609999999998</v>
      </c>
      <c r="AC293" s="1">
        <v>45412</v>
      </c>
      <c r="AD293" s="2">
        <v>264.73399999999998</v>
      </c>
      <c r="AE293" s="1">
        <v>45777</v>
      </c>
      <c r="AF293" s="2">
        <v>265.24549999999999</v>
      </c>
      <c r="AG293" s="1">
        <v>45777</v>
      </c>
      <c r="AH293" s="2">
        <v>260.06420000000003</v>
      </c>
      <c r="AI293" s="1">
        <v>45777</v>
      </c>
      <c r="AJ293" s="2">
        <v>926.76599999999996</v>
      </c>
      <c r="AK293" s="1">
        <v>45412</v>
      </c>
      <c r="AL293" s="2">
        <v>10363.549999999999</v>
      </c>
      <c r="AM293" s="1">
        <v>45412</v>
      </c>
      <c r="AN293" s="2">
        <v>4482.92</v>
      </c>
      <c r="AO293" s="1">
        <v>45412</v>
      </c>
      <c r="AP293" s="2">
        <v>4669.22</v>
      </c>
      <c r="AQ293" s="1">
        <v>45412</v>
      </c>
      <c r="AR293" s="2">
        <v>4141.76</v>
      </c>
      <c r="AS293" s="1">
        <v>45412</v>
      </c>
      <c r="AT293" s="2">
        <v>12801.35</v>
      </c>
      <c r="AU293" s="2">
        <v>45412</v>
      </c>
      <c r="AV293" s="2">
        <v>9947.08</v>
      </c>
      <c r="BC293" s="1">
        <v>45412</v>
      </c>
      <c r="BD293" s="2">
        <v>0.82</v>
      </c>
      <c r="BE293" s="1">
        <v>45412</v>
      </c>
      <c r="BF293" s="2">
        <v>-3.734</v>
      </c>
      <c r="BG293" s="2">
        <v>45412</v>
      </c>
      <c r="BH293" s="2">
        <v>-72.763999999999996</v>
      </c>
      <c r="BI293" s="1">
        <v>45412</v>
      </c>
      <c r="BJ293" s="2">
        <v>6.6740000000000004</v>
      </c>
      <c r="BK293" s="1">
        <v>45412</v>
      </c>
      <c r="BL293" s="2">
        <v>835.13440000000003</v>
      </c>
      <c r="BM293" s="1"/>
      <c r="BO293" s="1"/>
    </row>
    <row r="294" spans="1:67" x14ac:dyDescent="0.25">
      <c r="A294" s="1">
        <v>45443</v>
      </c>
      <c r="B294" s="2">
        <v>4149.4049999999997</v>
      </c>
      <c r="C294" s="1">
        <v>45443</v>
      </c>
      <c r="D294" s="2">
        <v>308.71190000000001</v>
      </c>
      <c r="E294" s="1">
        <v>45443</v>
      </c>
      <c r="F294" s="2">
        <v>252.56299999999999</v>
      </c>
      <c r="G294" s="1">
        <v>45443</v>
      </c>
      <c r="H294" s="2">
        <v>252.172</v>
      </c>
      <c r="I294" s="1">
        <v>45471</v>
      </c>
      <c r="J294" s="2">
        <v>158.732</v>
      </c>
      <c r="K294" s="1">
        <v>45443</v>
      </c>
      <c r="L294" s="2">
        <v>167.01050000000001</v>
      </c>
      <c r="M294" s="1">
        <v>45443</v>
      </c>
      <c r="N294" s="2">
        <v>191.31120000000001</v>
      </c>
      <c r="O294" s="1">
        <v>45471</v>
      </c>
      <c r="P294" s="2">
        <v>136.39279999999999</v>
      </c>
      <c r="Q294" s="1">
        <v>45443</v>
      </c>
      <c r="R294" s="2">
        <v>168.0943</v>
      </c>
      <c r="S294" s="1">
        <v>45443</v>
      </c>
      <c r="T294" s="2">
        <v>557.0779</v>
      </c>
      <c r="U294" s="1">
        <v>45443</v>
      </c>
      <c r="V294" s="2">
        <v>327.73919999999998</v>
      </c>
      <c r="W294" s="1">
        <v>45443</v>
      </c>
      <c r="X294" s="2">
        <v>2084.7800000000002</v>
      </c>
      <c r="Y294" s="1">
        <v>45443</v>
      </c>
      <c r="Z294" s="2">
        <v>-37.621000000000002</v>
      </c>
      <c r="AA294" s="1">
        <v>45807</v>
      </c>
      <c r="AB294" s="2">
        <v>482.97030000000001</v>
      </c>
      <c r="AC294" s="1">
        <v>45443</v>
      </c>
      <c r="AD294" s="2">
        <v>268.37169999999998</v>
      </c>
      <c r="AE294" s="1">
        <v>45807</v>
      </c>
      <c r="AF294" s="2">
        <v>263.93849999999998</v>
      </c>
      <c r="AG294" s="1">
        <v>45807</v>
      </c>
      <c r="AH294" s="2">
        <v>264.27730000000003</v>
      </c>
      <c r="AI294" s="1">
        <v>45807</v>
      </c>
      <c r="AJ294" s="2">
        <v>924.0625</v>
      </c>
      <c r="AK294" s="1">
        <v>45443</v>
      </c>
      <c r="AL294" s="2">
        <v>10826.31</v>
      </c>
      <c r="AM294" s="1">
        <v>45443</v>
      </c>
      <c r="AN294" s="2">
        <v>4755.8</v>
      </c>
      <c r="AO294" s="1">
        <v>45443</v>
      </c>
      <c r="AP294" s="2">
        <v>4774.72</v>
      </c>
      <c r="AQ294" s="1">
        <v>45443</v>
      </c>
      <c r="AR294" s="2">
        <v>4376.17</v>
      </c>
      <c r="AS294" s="1">
        <v>45443</v>
      </c>
      <c r="AT294" s="2">
        <v>13207.64</v>
      </c>
      <c r="AU294" s="2">
        <v>45443</v>
      </c>
      <c r="AV294" s="2">
        <v>10513.76</v>
      </c>
      <c r="BC294" s="1">
        <v>45443</v>
      </c>
      <c r="BD294" s="2">
        <v>0.8</v>
      </c>
      <c r="BE294" s="1">
        <v>45443</v>
      </c>
      <c r="BF294" s="2">
        <v>-1.0189999999999999</v>
      </c>
      <c r="BG294" s="2">
        <v>45443</v>
      </c>
      <c r="BH294" s="2">
        <v>-91.015000000000001</v>
      </c>
      <c r="BI294" s="1">
        <v>45443</v>
      </c>
      <c r="BJ294" s="2">
        <v>13.846</v>
      </c>
      <c r="BK294" s="1">
        <v>45443</v>
      </c>
      <c r="BL294" s="2">
        <v>844.11670000000004</v>
      </c>
      <c r="BM294" s="1"/>
      <c r="BO294" s="1"/>
    </row>
    <row r="295" spans="1:67" x14ac:dyDescent="0.25">
      <c r="A295" s="1">
        <v>45471</v>
      </c>
      <c r="B295" s="2">
        <v>4038.1619999999998</v>
      </c>
      <c r="C295" s="1">
        <v>45471</v>
      </c>
      <c r="D295" s="2">
        <v>310.7688</v>
      </c>
      <c r="E295" s="1">
        <v>45471</v>
      </c>
      <c r="F295" s="2">
        <v>254.62100000000001</v>
      </c>
      <c r="G295" s="1">
        <v>45471</v>
      </c>
      <c r="H295" s="2">
        <v>248.40376000000001</v>
      </c>
      <c r="I295" s="1">
        <v>45504</v>
      </c>
      <c r="J295" s="2">
        <v>158.39359999999999</v>
      </c>
      <c r="K295" s="1">
        <v>45471</v>
      </c>
      <c r="L295" s="2">
        <v>166.98750000000001</v>
      </c>
      <c r="M295" s="1">
        <v>45471</v>
      </c>
      <c r="N295" s="2">
        <v>187.79480000000001</v>
      </c>
      <c r="O295" s="1">
        <v>45504</v>
      </c>
      <c r="P295" s="2">
        <v>136.51429999999999</v>
      </c>
      <c r="Q295" s="1">
        <v>45471</v>
      </c>
      <c r="R295" s="2">
        <v>168.94890000000001</v>
      </c>
      <c r="S295" s="1">
        <v>45471</v>
      </c>
      <c r="T295" s="2">
        <v>561.9117</v>
      </c>
      <c r="U295" s="1">
        <v>45471</v>
      </c>
      <c r="V295" s="2">
        <v>326.92610000000002</v>
      </c>
      <c r="W295" s="1">
        <v>45471</v>
      </c>
      <c r="X295" s="2">
        <v>2109.17</v>
      </c>
      <c r="Y295" s="1">
        <v>45471</v>
      </c>
      <c r="Z295" s="2">
        <v>-35.945999999999998</v>
      </c>
      <c r="AA295" s="1">
        <v>45838</v>
      </c>
      <c r="AB295" s="2">
        <v>499.1046</v>
      </c>
      <c r="AC295" s="1">
        <v>45471</v>
      </c>
      <c r="AD295" s="2">
        <v>263.4366</v>
      </c>
      <c r="AE295" s="1">
        <v>45838</v>
      </c>
      <c r="AF295" s="2">
        <v>262.96530000000001</v>
      </c>
      <c r="AG295" s="1">
        <v>45838</v>
      </c>
      <c r="AH295" s="2">
        <v>283.5641</v>
      </c>
      <c r="AI295" s="1">
        <v>45838</v>
      </c>
      <c r="AJ295" s="2">
        <v>941.42129999999997</v>
      </c>
      <c r="AK295" s="1">
        <v>45471</v>
      </c>
      <c r="AL295" s="2">
        <v>11046.6</v>
      </c>
      <c r="AM295" s="1">
        <v>45471</v>
      </c>
      <c r="AN295" s="2">
        <v>4927.3900000000003</v>
      </c>
      <c r="AO295" s="1">
        <v>45471</v>
      </c>
      <c r="AP295" s="2">
        <v>4798.17</v>
      </c>
      <c r="AQ295" s="1">
        <v>45471</v>
      </c>
      <c r="AR295" s="2">
        <v>4533.55</v>
      </c>
      <c r="AS295" s="1">
        <v>45471</v>
      </c>
      <c r="AT295" s="2">
        <v>13092.28</v>
      </c>
      <c r="AU295" s="2">
        <v>45471</v>
      </c>
      <c r="AV295" s="2">
        <v>11020.71</v>
      </c>
      <c r="BC295" s="1">
        <v>45471</v>
      </c>
      <c r="BD295" s="2">
        <v>0.88</v>
      </c>
      <c r="BE295" s="1">
        <v>45471</v>
      </c>
      <c r="BF295" s="2">
        <v>1.78</v>
      </c>
      <c r="BG295" s="2">
        <v>45471</v>
      </c>
      <c r="BH295" s="2">
        <v>-96.403999999999996</v>
      </c>
      <c r="BI295" s="1">
        <v>45471</v>
      </c>
      <c r="BJ295" s="2">
        <v>17.998999999999999</v>
      </c>
      <c r="BK295" s="1">
        <v>45471</v>
      </c>
      <c r="BL295" s="2">
        <v>843.82719999999995</v>
      </c>
      <c r="BM295" s="1"/>
      <c r="BO295" s="1"/>
    </row>
    <row r="296" spans="1:67" x14ac:dyDescent="0.25">
      <c r="A296" s="1">
        <v>45504</v>
      </c>
      <c r="B296" s="2">
        <v>3940.748</v>
      </c>
      <c r="C296" s="1">
        <v>45504</v>
      </c>
      <c r="D296" s="2">
        <v>306.19409999999999</v>
      </c>
      <c r="E296" s="1">
        <v>45504</v>
      </c>
      <c r="F296" s="2">
        <v>246.66800000000001</v>
      </c>
      <c r="G296" s="1">
        <v>45504</v>
      </c>
      <c r="H296" s="2">
        <v>249.79656</v>
      </c>
      <c r="I296" s="1">
        <v>45534</v>
      </c>
      <c r="J296" s="2">
        <v>157.03819999999999</v>
      </c>
      <c r="K296" s="1">
        <v>45504</v>
      </c>
      <c r="L296" s="2">
        <v>167.61019999999999</v>
      </c>
      <c r="M296" s="1">
        <v>45504</v>
      </c>
      <c r="N296" s="2">
        <v>185.88679999999999</v>
      </c>
      <c r="O296" s="1">
        <v>45534</v>
      </c>
      <c r="P296" s="2">
        <v>136.20939999999999</v>
      </c>
      <c r="Q296" s="1">
        <v>45504</v>
      </c>
      <c r="R296" s="2">
        <v>168.04480000000001</v>
      </c>
      <c r="S296" s="1">
        <v>45504</v>
      </c>
      <c r="T296" s="2">
        <v>572.7672</v>
      </c>
      <c r="U296" s="1">
        <v>45504</v>
      </c>
      <c r="V296" s="2">
        <v>335.34370000000001</v>
      </c>
      <c r="W296" s="1">
        <v>45504</v>
      </c>
      <c r="X296" s="2">
        <v>2164.77</v>
      </c>
      <c r="Y296" s="1">
        <v>45504</v>
      </c>
      <c r="Z296" s="2">
        <v>-22.992000000000001</v>
      </c>
      <c r="AA296" s="1">
        <v>45869</v>
      </c>
      <c r="AB296" s="2">
        <v>505.0496</v>
      </c>
      <c r="AC296" s="1">
        <v>45504</v>
      </c>
      <c r="AD296" s="2">
        <v>254.00219999999999</v>
      </c>
      <c r="AE296" s="1">
        <v>45869</v>
      </c>
      <c r="AF296" s="2">
        <v>262.28160000000003</v>
      </c>
      <c r="AG296" s="1">
        <v>45869</v>
      </c>
      <c r="AH296" s="2">
        <v>303.34910000000002</v>
      </c>
      <c r="AI296" s="1">
        <v>45869</v>
      </c>
      <c r="AJ296" s="2">
        <v>945.04819999999995</v>
      </c>
      <c r="AK296" s="1">
        <v>45504</v>
      </c>
      <c r="AL296" s="2">
        <v>11241.27</v>
      </c>
      <c r="AM296" s="1">
        <v>45504</v>
      </c>
      <c r="AN296" s="2">
        <v>4908.17</v>
      </c>
      <c r="AO296" s="1">
        <v>45504</v>
      </c>
      <c r="AP296" s="2">
        <v>5028.8999999999996</v>
      </c>
      <c r="AQ296" s="1">
        <v>45504</v>
      </c>
      <c r="AR296" s="2">
        <v>4480.34</v>
      </c>
      <c r="AS296" s="1">
        <v>45504</v>
      </c>
      <c r="AT296" s="2">
        <v>13717.28</v>
      </c>
      <c r="AU296" s="2">
        <v>45504</v>
      </c>
      <c r="AV296" s="2">
        <v>10914.69</v>
      </c>
      <c r="BC296" s="1">
        <v>45504</v>
      </c>
      <c r="BD296" s="2">
        <v>0.88</v>
      </c>
      <c r="BE296" s="1">
        <v>45504</v>
      </c>
      <c r="BF296" s="2">
        <v>11.472</v>
      </c>
      <c r="BG296" s="2">
        <v>45504</v>
      </c>
      <c r="BH296" s="2">
        <v>-125.96299999999999</v>
      </c>
      <c r="BI296" s="1">
        <v>45504</v>
      </c>
      <c r="BJ296" s="2">
        <v>38.883000000000003</v>
      </c>
      <c r="BK296" s="1">
        <v>45504</v>
      </c>
      <c r="BL296" s="2">
        <v>867.95619999999997</v>
      </c>
      <c r="BM296" s="1"/>
      <c r="BO296" s="1"/>
    </row>
    <row r="297" spans="1:67" x14ac:dyDescent="0.25">
      <c r="A297" s="1">
        <v>45534</v>
      </c>
      <c r="B297" s="2">
        <v>3763.2049999999999</v>
      </c>
      <c r="C297" s="1">
        <v>45534</v>
      </c>
      <c r="D297" s="2">
        <v>299.85399999999998</v>
      </c>
      <c r="E297" s="1">
        <v>45534</v>
      </c>
      <c r="F297" s="2">
        <v>246.096</v>
      </c>
      <c r="G297" s="1">
        <v>45534</v>
      </c>
      <c r="H297" s="2">
        <v>252.5538</v>
      </c>
      <c r="I297" s="1">
        <v>45565</v>
      </c>
      <c r="J297" s="2">
        <v>157.39230000000001</v>
      </c>
      <c r="K297" s="1">
        <v>45534</v>
      </c>
      <c r="L297" s="2">
        <v>164.9691</v>
      </c>
      <c r="M297" s="1">
        <v>45534</v>
      </c>
      <c r="N297" s="2">
        <v>185.09790000000001</v>
      </c>
      <c r="O297" s="1">
        <v>45565</v>
      </c>
      <c r="P297" s="2">
        <v>135.49529999999999</v>
      </c>
      <c r="Q297" s="1">
        <v>45534</v>
      </c>
      <c r="R297" s="2">
        <v>166.22710000000001</v>
      </c>
      <c r="S297" s="1">
        <v>45534</v>
      </c>
      <c r="T297" s="2">
        <v>579.04039999999998</v>
      </c>
      <c r="U297" s="1">
        <v>45534</v>
      </c>
      <c r="V297" s="2">
        <v>340.5915</v>
      </c>
      <c r="W297" s="1">
        <v>45534</v>
      </c>
      <c r="X297" s="2">
        <v>2199.6999999999998</v>
      </c>
      <c r="Y297" s="1">
        <v>45534</v>
      </c>
      <c r="Z297" s="2">
        <v>-1.7210000000000001</v>
      </c>
      <c r="AA297" s="1">
        <v>45898</v>
      </c>
      <c r="AB297" s="2">
        <v>515.61850000000004</v>
      </c>
      <c r="AC297" s="1">
        <v>45534</v>
      </c>
      <c r="AD297" s="2">
        <v>253.07910000000001</v>
      </c>
      <c r="AE297" s="1">
        <v>45898</v>
      </c>
      <c r="AF297" s="2">
        <v>275.58969999999999</v>
      </c>
      <c r="AG297" s="1">
        <v>45898</v>
      </c>
      <c r="AH297" s="2">
        <v>290.02640000000002</v>
      </c>
      <c r="AI297" s="1">
        <v>45898</v>
      </c>
      <c r="AJ297" s="2">
        <v>1004.73</v>
      </c>
      <c r="AK297" s="1">
        <v>45534</v>
      </c>
      <c r="AL297" s="2">
        <v>11538.38</v>
      </c>
      <c r="AM297" s="1">
        <v>45534</v>
      </c>
      <c r="AN297" s="2">
        <v>5091.57</v>
      </c>
      <c r="AO297" s="1">
        <v>45534</v>
      </c>
      <c r="AP297" s="2">
        <v>5278.89</v>
      </c>
      <c r="AQ297" s="1">
        <v>45534</v>
      </c>
      <c r="AR297" s="2">
        <v>4588.95</v>
      </c>
      <c r="AS297" s="1">
        <v>45534</v>
      </c>
      <c r="AT297" s="2">
        <v>14105.8</v>
      </c>
      <c r="AU297" s="2">
        <v>45534</v>
      </c>
      <c r="AV297" s="2">
        <v>11183.45</v>
      </c>
      <c r="BC297" s="1">
        <v>45534</v>
      </c>
      <c r="BD297" s="2">
        <v>0.87</v>
      </c>
      <c r="BE297" s="1">
        <v>45534</v>
      </c>
      <c r="BF297" s="2">
        <v>19.899000000000001</v>
      </c>
      <c r="BG297" s="2">
        <v>45534</v>
      </c>
      <c r="BH297" s="2">
        <v>-121.863</v>
      </c>
      <c r="BI297" s="1">
        <v>45534</v>
      </c>
      <c r="BJ297" s="2">
        <v>49.106999999999999</v>
      </c>
      <c r="BK297" s="1">
        <v>45534</v>
      </c>
      <c r="BL297" s="2">
        <v>887.93589999999995</v>
      </c>
      <c r="BM297" s="1"/>
      <c r="BO297" s="1"/>
    </row>
    <row r="298" spans="1:67" x14ac:dyDescent="0.25">
      <c r="A298" s="1">
        <v>45565</v>
      </c>
      <c r="B298" s="2">
        <v>3800.2060000000001</v>
      </c>
      <c r="C298" s="1">
        <v>45565</v>
      </c>
      <c r="D298" s="2">
        <v>302.0444</v>
      </c>
      <c r="E298" s="1">
        <v>45565</v>
      </c>
      <c r="F298" s="2">
        <v>246.90199999999999</v>
      </c>
      <c r="G298" s="1">
        <v>45565</v>
      </c>
      <c r="H298" s="2">
        <v>257.46042999999997</v>
      </c>
      <c r="I298" s="1">
        <v>45596</v>
      </c>
      <c r="J298" s="2">
        <v>155.99279999999999</v>
      </c>
      <c r="K298" s="1">
        <v>45565</v>
      </c>
      <c r="L298" s="2">
        <v>165.928</v>
      </c>
      <c r="M298" s="1">
        <v>45565</v>
      </c>
      <c r="N298" s="2">
        <v>186.45500000000001</v>
      </c>
      <c r="O298" s="1">
        <v>45596</v>
      </c>
      <c r="P298" s="2">
        <v>136.12209999999999</v>
      </c>
      <c r="Q298" s="1">
        <v>45565</v>
      </c>
      <c r="R298" s="2">
        <v>166.80269999999999</v>
      </c>
      <c r="S298" s="1">
        <v>45565</v>
      </c>
      <c r="T298" s="2">
        <v>585.75959999999998</v>
      </c>
      <c r="U298" s="1">
        <v>45565</v>
      </c>
      <c r="V298" s="2">
        <v>346.42</v>
      </c>
      <c r="W298" s="1">
        <v>45565</v>
      </c>
      <c r="X298" s="2">
        <v>2225.79</v>
      </c>
      <c r="Y298" s="1">
        <v>45565</v>
      </c>
      <c r="Z298" s="2">
        <v>13.779</v>
      </c>
      <c r="AA298" s="1">
        <v>45930</v>
      </c>
      <c r="AB298" s="2">
        <v>525.53790000000004</v>
      </c>
      <c r="AC298" s="1">
        <v>45565</v>
      </c>
      <c r="AD298" s="2">
        <v>262.59249999999997</v>
      </c>
      <c r="AE298" s="1">
        <v>45930</v>
      </c>
      <c r="AF298" s="2">
        <v>267.89479999999998</v>
      </c>
      <c r="AG298" s="1">
        <v>45930</v>
      </c>
      <c r="AH298" s="2">
        <v>290.1404</v>
      </c>
      <c r="AI298" s="1">
        <v>45930</v>
      </c>
      <c r="AJ298" s="2">
        <v>1120.7190000000001</v>
      </c>
      <c r="AK298" s="1">
        <v>45565</v>
      </c>
      <c r="AL298" s="2">
        <v>11749.69</v>
      </c>
      <c r="AM298" s="1">
        <v>45565</v>
      </c>
      <c r="AN298" s="2">
        <v>5114.43</v>
      </c>
      <c r="AO298" s="1">
        <v>45565</v>
      </c>
      <c r="AP298" s="2">
        <v>5286.24</v>
      </c>
      <c r="AQ298" s="1">
        <v>45565</v>
      </c>
      <c r="AR298" s="2">
        <v>4669.07</v>
      </c>
      <c r="AS298" s="1">
        <v>45565</v>
      </c>
      <c r="AT298" s="2">
        <v>14344.99</v>
      </c>
      <c r="AU298" s="2">
        <v>45565</v>
      </c>
      <c r="AV298" s="2">
        <v>11402.81</v>
      </c>
      <c r="BC298" s="1">
        <v>45565</v>
      </c>
      <c r="BD298" s="2">
        <v>0.84</v>
      </c>
      <c r="BE298" s="1">
        <v>45565</v>
      </c>
      <c r="BF298" s="2">
        <v>22.074000000000002</v>
      </c>
      <c r="BG298" s="2">
        <v>45565</v>
      </c>
      <c r="BH298" s="2">
        <v>-85.677000000000007</v>
      </c>
      <c r="BI298" s="1">
        <v>45565</v>
      </c>
      <c r="BJ298" s="2">
        <v>55.886000000000003</v>
      </c>
      <c r="BK298" s="1">
        <v>45565</v>
      </c>
      <c r="BL298" s="2">
        <v>902.51409999999998</v>
      </c>
      <c r="BM298" s="1"/>
      <c r="BO298" s="1"/>
    </row>
    <row r="299" spans="1:67" x14ac:dyDescent="0.25">
      <c r="A299" s="1">
        <v>45596</v>
      </c>
      <c r="B299" s="2">
        <v>3636.8110000000001</v>
      </c>
      <c r="C299" s="1">
        <v>45596</v>
      </c>
      <c r="D299" s="2">
        <v>305.53309999999999</v>
      </c>
      <c r="E299" s="1">
        <v>45596</v>
      </c>
      <c r="F299" s="2">
        <v>249.197</v>
      </c>
      <c r="G299" s="1">
        <v>45596</v>
      </c>
      <c r="H299" s="2">
        <v>251.5668</v>
      </c>
      <c r="I299" s="1">
        <v>45625</v>
      </c>
      <c r="J299" s="2">
        <v>156.25210000000001</v>
      </c>
      <c r="K299" s="1">
        <v>45596</v>
      </c>
      <c r="L299" s="2">
        <v>164.84039999999999</v>
      </c>
      <c r="M299" s="1">
        <v>45596</v>
      </c>
      <c r="N299" s="2">
        <v>182.0283</v>
      </c>
      <c r="O299" s="1">
        <v>45625</v>
      </c>
      <c r="P299" s="2">
        <v>135.16059999999999</v>
      </c>
      <c r="Q299" s="1">
        <v>45596</v>
      </c>
      <c r="R299" s="2">
        <v>164.34649999999999</v>
      </c>
      <c r="S299" s="1">
        <v>45596</v>
      </c>
      <c r="T299" s="2">
        <v>577.83299999999997</v>
      </c>
      <c r="U299" s="1">
        <v>45596</v>
      </c>
      <c r="V299" s="2">
        <v>334.18560000000002</v>
      </c>
      <c r="W299" s="1">
        <v>45596</v>
      </c>
      <c r="X299" s="2">
        <v>2162.7800000000002</v>
      </c>
      <c r="Y299" s="1">
        <v>45596</v>
      </c>
      <c r="Z299" s="2">
        <v>11.002000000000001</v>
      </c>
      <c r="AA299" s="1">
        <v>45961</v>
      </c>
      <c r="AB299" s="2">
        <v>536.55190000000005</v>
      </c>
      <c r="AC299" s="1">
        <v>45596</v>
      </c>
      <c r="AD299" s="2">
        <v>257.80759999999998</v>
      </c>
      <c r="AE299" s="1">
        <v>45961</v>
      </c>
      <c r="AF299" s="2">
        <v>272.91160000000002</v>
      </c>
      <c r="AG299" s="1">
        <v>45961</v>
      </c>
      <c r="AH299" s="2">
        <v>290.42790000000002</v>
      </c>
      <c r="AI299" s="1">
        <v>45961</v>
      </c>
      <c r="AJ299" s="2">
        <v>1160.9749999999999</v>
      </c>
      <c r="AK299" s="1">
        <v>45596</v>
      </c>
      <c r="AL299" s="2">
        <v>11516.61</v>
      </c>
      <c r="AM299" s="1">
        <v>45596</v>
      </c>
      <c r="AN299" s="2">
        <v>4959.95</v>
      </c>
      <c r="AO299" s="1">
        <v>45596</v>
      </c>
      <c r="AP299" s="2">
        <v>5162.1899999999996</v>
      </c>
      <c r="AQ299" s="1">
        <v>45596</v>
      </c>
      <c r="AR299" s="2">
        <v>4614.3100000000004</v>
      </c>
      <c r="AS299" s="1">
        <v>45596</v>
      </c>
      <c r="AT299" s="2">
        <v>14035.05</v>
      </c>
      <c r="AU299" s="2">
        <v>45596</v>
      </c>
      <c r="AV299" s="2">
        <v>11195.93</v>
      </c>
      <c r="BC299" s="1">
        <v>45596</v>
      </c>
      <c r="BD299" s="2">
        <v>0.79</v>
      </c>
      <c r="BE299" s="1">
        <v>45596</v>
      </c>
      <c r="BF299" s="2">
        <v>12.444000000000001</v>
      </c>
      <c r="BG299" s="2">
        <v>45596</v>
      </c>
      <c r="BH299" s="2">
        <v>-27.042000000000002</v>
      </c>
      <c r="BI299" s="1">
        <v>45596</v>
      </c>
      <c r="BJ299" s="2">
        <v>31.503</v>
      </c>
      <c r="BK299" s="1">
        <v>45596</v>
      </c>
      <c r="BL299" s="2">
        <v>871.28570000000002</v>
      </c>
      <c r="BM299" s="1"/>
      <c r="BO299" s="1"/>
    </row>
    <row r="300" spans="1:67" x14ac:dyDescent="0.25">
      <c r="A300" s="1">
        <v>45625</v>
      </c>
      <c r="B300" s="2">
        <v>3755.6120000000001</v>
      </c>
      <c r="C300" s="1">
        <v>45625</v>
      </c>
      <c r="D300" s="2">
        <v>304.63150000000002</v>
      </c>
      <c r="E300" s="1">
        <v>45625</v>
      </c>
      <c r="F300" s="2">
        <v>250.608</v>
      </c>
      <c r="G300" s="1">
        <v>45625</v>
      </c>
      <c r="H300" s="2">
        <v>248.48419999999999</v>
      </c>
      <c r="I300" s="1">
        <v>45657</v>
      </c>
      <c r="J300" s="2">
        <v>156.17339999999999</v>
      </c>
      <c r="K300" s="1">
        <v>45625</v>
      </c>
      <c r="L300" s="2">
        <v>166.8818</v>
      </c>
      <c r="M300" s="1">
        <v>45625</v>
      </c>
      <c r="N300" s="2">
        <v>181.18100000000001</v>
      </c>
      <c r="O300" s="1">
        <v>45657</v>
      </c>
      <c r="P300" s="2">
        <v>134.5847</v>
      </c>
      <c r="Q300" s="1">
        <v>45625</v>
      </c>
      <c r="R300" s="2">
        <v>165.2321</v>
      </c>
      <c r="S300" s="1">
        <v>45625</v>
      </c>
      <c r="T300" s="2">
        <v>584.69659999999999</v>
      </c>
      <c r="U300" s="1">
        <v>45625</v>
      </c>
      <c r="V300" s="2">
        <v>333.61369999999999</v>
      </c>
      <c r="W300" s="1">
        <v>45625</v>
      </c>
      <c r="X300" s="2">
        <v>2191.61</v>
      </c>
      <c r="Y300" s="1">
        <v>45625</v>
      </c>
      <c r="Z300" s="2">
        <v>1.347</v>
      </c>
      <c r="AA300" s="1">
        <v>45989</v>
      </c>
      <c r="AB300" s="2">
        <v>546.96720000000005</v>
      </c>
      <c r="AC300" s="1">
        <v>45625</v>
      </c>
      <c r="AD300" s="2">
        <v>256.85879999999997</v>
      </c>
      <c r="AE300" s="1">
        <v>45989</v>
      </c>
      <c r="AF300" s="2">
        <v>275.4984</v>
      </c>
      <c r="AG300" s="1">
        <v>45989</v>
      </c>
      <c r="AH300" s="2">
        <v>284.74380000000002</v>
      </c>
      <c r="AI300" s="1">
        <v>45989</v>
      </c>
      <c r="AJ300" s="2">
        <v>1260.1320000000001</v>
      </c>
      <c r="AK300" s="1">
        <v>45625</v>
      </c>
      <c r="AL300" s="2">
        <v>12045.07</v>
      </c>
      <c r="AM300" s="1">
        <v>45625</v>
      </c>
      <c r="AN300" s="2">
        <v>5105.37</v>
      </c>
      <c r="AO300" s="1">
        <v>45625</v>
      </c>
      <c r="AP300" s="2">
        <v>5345.15</v>
      </c>
      <c r="AQ300" s="1">
        <v>45625</v>
      </c>
      <c r="AR300" s="2">
        <v>4804.3</v>
      </c>
      <c r="AS300" s="1">
        <v>45625</v>
      </c>
      <c r="AT300" s="2">
        <v>14575.43</v>
      </c>
      <c r="AU300" s="2">
        <v>45625</v>
      </c>
      <c r="AV300" s="2">
        <v>11789.86</v>
      </c>
      <c r="BC300" s="1">
        <v>45625</v>
      </c>
      <c r="BD300" s="2">
        <v>0.74</v>
      </c>
      <c r="BE300" s="1">
        <v>45625</v>
      </c>
      <c r="BF300" s="2">
        <v>11.856</v>
      </c>
      <c r="BG300" s="2">
        <v>45625</v>
      </c>
      <c r="BH300" s="2">
        <v>-33.015999999999998</v>
      </c>
      <c r="BI300" s="1">
        <v>45625</v>
      </c>
      <c r="BJ300" s="2">
        <v>30.994</v>
      </c>
      <c r="BK300" s="1">
        <v>45625</v>
      </c>
      <c r="BL300" s="2">
        <v>873.45069999999998</v>
      </c>
      <c r="BM300" s="1"/>
      <c r="BO300" s="1"/>
    </row>
    <row r="301" spans="1:67" x14ac:dyDescent="0.25">
      <c r="A301" s="1">
        <v>45657</v>
      </c>
      <c r="B301" s="2">
        <v>3811.2809999999999</v>
      </c>
      <c r="C301" s="1">
        <v>45657</v>
      </c>
      <c r="D301" s="2">
        <v>307.28370000000001</v>
      </c>
      <c r="E301" s="1">
        <v>45657</v>
      </c>
      <c r="F301" s="2">
        <v>255.41800000000001</v>
      </c>
      <c r="G301" s="1">
        <v>45657</v>
      </c>
      <c r="H301" s="2">
        <v>244.56793999999999</v>
      </c>
      <c r="I301" s="1">
        <v>45688</v>
      </c>
      <c r="J301" s="2">
        <v>156.3004</v>
      </c>
      <c r="K301" s="1">
        <v>45657</v>
      </c>
      <c r="L301" s="2">
        <v>164.42240000000001</v>
      </c>
      <c r="M301" s="1">
        <v>45657</v>
      </c>
      <c r="N301" s="2">
        <v>179.67189999999999</v>
      </c>
      <c r="O301" s="1">
        <v>45688</v>
      </c>
      <c r="P301" s="2">
        <v>134.6011</v>
      </c>
      <c r="Q301" s="1">
        <v>45657</v>
      </c>
      <c r="R301" s="2">
        <v>168.44630000000001</v>
      </c>
      <c r="S301" s="1">
        <v>45657</v>
      </c>
      <c r="T301" s="2">
        <v>580.20960000000002</v>
      </c>
      <c r="U301" s="1">
        <v>45657</v>
      </c>
      <c r="V301" s="2">
        <v>323.17649999999998</v>
      </c>
      <c r="W301" s="1">
        <v>45657</v>
      </c>
      <c r="X301" s="2">
        <v>2155.5100000000002</v>
      </c>
      <c r="Y301" s="1">
        <v>45657</v>
      </c>
      <c r="Z301" s="2">
        <v>32.529000000000003</v>
      </c>
      <c r="AA301" s="1">
        <v>46022</v>
      </c>
      <c r="AB301" s="2">
        <v>552.39980000000003</v>
      </c>
      <c r="AC301" s="1">
        <v>45657</v>
      </c>
      <c r="AD301" s="2">
        <v>258.25330000000002</v>
      </c>
      <c r="AE301" s="1">
        <v>46022</v>
      </c>
      <c r="AF301" s="2">
        <v>268.24020000000002</v>
      </c>
      <c r="AG301" s="1">
        <v>46022</v>
      </c>
      <c r="AH301" s="2">
        <v>274.10410000000002</v>
      </c>
      <c r="AI301" s="1">
        <v>46022</v>
      </c>
      <c r="AJ301" s="2">
        <v>1357.8140000000001</v>
      </c>
      <c r="AK301" s="1">
        <v>45657</v>
      </c>
      <c r="AL301" s="2">
        <v>11731.17</v>
      </c>
      <c r="AM301" s="1">
        <v>45657</v>
      </c>
      <c r="AN301" s="2">
        <v>4949.74</v>
      </c>
      <c r="AO301" s="1">
        <v>45657</v>
      </c>
      <c r="AP301" s="2">
        <v>5081.78</v>
      </c>
      <c r="AQ301" s="1">
        <v>45657</v>
      </c>
      <c r="AR301" s="2">
        <v>4678.37</v>
      </c>
      <c r="AS301" s="1">
        <v>45657</v>
      </c>
      <c r="AT301" s="2">
        <v>13742.12</v>
      </c>
      <c r="AU301" s="2">
        <v>45657</v>
      </c>
      <c r="AV301" s="2">
        <v>11837.25</v>
      </c>
      <c r="BC301" s="1">
        <v>45657</v>
      </c>
      <c r="BD301" s="2">
        <v>0.77</v>
      </c>
      <c r="BE301" s="1">
        <v>45657</v>
      </c>
      <c r="BF301" s="2">
        <v>18.7</v>
      </c>
      <c r="BG301" s="2">
        <v>45657</v>
      </c>
      <c r="BH301" s="2">
        <v>24.164000000000001</v>
      </c>
      <c r="BI301" s="1">
        <v>45657</v>
      </c>
      <c r="BJ301" s="2">
        <v>39.927</v>
      </c>
      <c r="BK301" s="1">
        <v>45657</v>
      </c>
      <c r="BL301" s="2">
        <v>853.4298</v>
      </c>
      <c r="BM301" s="1"/>
      <c r="BO301" s="1"/>
    </row>
    <row r="302" spans="1:67" x14ac:dyDescent="0.25">
      <c r="A302" s="1">
        <v>45688</v>
      </c>
      <c r="B302" s="2">
        <v>3817.0210000000002</v>
      </c>
      <c r="C302" s="1">
        <v>45688</v>
      </c>
      <c r="D302" s="2">
        <v>311.41759999999999</v>
      </c>
      <c r="E302" s="1">
        <v>45688</v>
      </c>
      <c r="F302" s="2">
        <v>254.876</v>
      </c>
      <c r="G302" s="1">
        <v>45688</v>
      </c>
      <c r="H302" s="2">
        <v>249.12431000000001</v>
      </c>
      <c r="I302" s="1">
        <v>45716</v>
      </c>
      <c r="J302" s="2">
        <v>155.7799</v>
      </c>
      <c r="K302" s="1">
        <v>45688</v>
      </c>
      <c r="L302" s="2">
        <v>165.8835</v>
      </c>
      <c r="M302" s="1">
        <v>45688</v>
      </c>
      <c r="N302" s="2">
        <v>179.94229999999999</v>
      </c>
      <c r="O302" s="1">
        <v>45716</v>
      </c>
      <c r="P302" s="2">
        <v>133.15270000000001</v>
      </c>
      <c r="Q302" s="1">
        <v>45688</v>
      </c>
      <c r="R302" s="2">
        <v>167.55799999999999</v>
      </c>
      <c r="S302" s="1">
        <v>45688</v>
      </c>
      <c r="T302" s="2">
        <v>582.45759999999996</v>
      </c>
      <c r="U302" s="1">
        <v>45688</v>
      </c>
      <c r="V302" s="2">
        <v>326.26530000000002</v>
      </c>
      <c r="W302" s="1">
        <v>45688</v>
      </c>
      <c r="X302" s="2">
        <v>2166.52</v>
      </c>
      <c r="Y302" s="1">
        <v>45688</v>
      </c>
      <c r="Z302" s="2">
        <v>33.749000000000002</v>
      </c>
      <c r="AA302" s="1">
        <v>46052</v>
      </c>
      <c r="AB302" s="2">
        <v>598.54870000000005</v>
      </c>
      <c r="AC302" s="1">
        <v>45688</v>
      </c>
      <c r="AD302" s="2">
        <v>267.46949999999998</v>
      </c>
      <c r="AE302" s="1">
        <v>46052</v>
      </c>
      <c r="AF302" s="2">
        <v>271.91340000000002</v>
      </c>
      <c r="AG302" s="1">
        <v>46052</v>
      </c>
      <c r="AH302" s="2">
        <v>311.04489999999998</v>
      </c>
      <c r="AI302" s="1">
        <v>46052</v>
      </c>
      <c r="AJ302" s="2">
        <v>1493.5519999999999</v>
      </c>
      <c r="AK302" s="1">
        <v>45688</v>
      </c>
      <c r="AL302" s="2">
        <v>12145.15</v>
      </c>
      <c r="AM302" s="1">
        <v>45688</v>
      </c>
      <c r="AN302" s="2">
        <v>5142.12</v>
      </c>
      <c r="AO302" s="1">
        <v>45688</v>
      </c>
      <c r="AP302" s="2">
        <v>5267.6</v>
      </c>
      <c r="AQ302" s="1">
        <v>45688</v>
      </c>
      <c r="AR302" s="2">
        <v>4902.95</v>
      </c>
      <c r="AS302" s="1">
        <v>45688</v>
      </c>
      <c r="AT302" s="2">
        <v>14360.97</v>
      </c>
      <c r="AU302" s="2">
        <v>45688</v>
      </c>
      <c r="AV302" s="2">
        <v>12150.39</v>
      </c>
      <c r="BC302" s="1">
        <v>45688</v>
      </c>
      <c r="BD302" s="2">
        <v>0.75</v>
      </c>
      <c r="BE302" s="1">
        <v>45688</v>
      </c>
      <c r="BF302" s="2">
        <v>20.972999999999999</v>
      </c>
      <c r="BG302" s="2">
        <v>45688</v>
      </c>
      <c r="BH302" s="2">
        <v>24.448</v>
      </c>
      <c r="BI302" s="1">
        <v>45688</v>
      </c>
      <c r="BJ302" s="2">
        <v>45.591999999999999</v>
      </c>
      <c r="BK302" s="1">
        <v>45688</v>
      </c>
      <c r="BL302" s="2">
        <v>857.38980000000004</v>
      </c>
      <c r="BM302" s="1"/>
      <c r="BO302" s="1"/>
    </row>
    <row r="303" spans="1:67" x14ac:dyDescent="0.25">
      <c r="A303" s="1">
        <v>45716</v>
      </c>
      <c r="B303" s="2">
        <v>3695.2170000000001</v>
      </c>
      <c r="C303" s="1">
        <v>45716</v>
      </c>
      <c r="D303" s="2">
        <v>312.39120000000003</v>
      </c>
      <c r="E303" s="1">
        <v>45716</v>
      </c>
      <c r="F303" s="2">
        <v>251.114</v>
      </c>
      <c r="G303" s="1">
        <v>45716</v>
      </c>
      <c r="H303" s="2">
        <v>249.45958999999999</v>
      </c>
      <c r="I303" s="1">
        <v>45747</v>
      </c>
      <c r="J303" s="2">
        <v>155.40770000000001</v>
      </c>
      <c r="K303" s="1">
        <v>45716</v>
      </c>
      <c r="L303" s="2">
        <v>167.42320000000001</v>
      </c>
      <c r="M303" s="1">
        <v>45716</v>
      </c>
      <c r="N303" s="2">
        <v>178.476</v>
      </c>
      <c r="O303" s="1">
        <v>45747</v>
      </c>
      <c r="P303" s="2">
        <v>133.50239999999999</v>
      </c>
      <c r="Q303" s="1">
        <v>45716</v>
      </c>
      <c r="R303" s="2">
        <v>166.99639999999999</v>
      </c>
      <c r="S303" s="1">
        <v>45716</v>
      </c>
      <c r="T303" s="2">
        <v>589.47109999999998</v>
      </c>
      <c r="U303" s="1">
        <v>45716</v>
      </c>
      <c r="V303" s="2">
        <v>330.85680000000002</v>
      </c>
      <c r="W303" s="1">
        <v>45716</v>
      </c>
      <c r="X303" s="2">
        <v>2221.7600000000002</v>
      </c>
      <c r="Y303" s="1">
        <v>45716</v>
      </c>
      <c r="Z303" s="2">
        <v>21.523</v>
      </c>
      <c r="AA303" s="1">
        <v>46080</v>
      </c>
      <c r="AB303" s="2">
        <v>627.21169999999995</v>
      </c>
      <c r="AC303" s="1">
        <v>45716</v>
      </c>
      <c r="AD303" s="2">
        <v>269.11369999999999</v>
      </c>
      <c r="AE303" s="1">
        <v>46080</v>
      </c>
      <c r="AF303" s="2">
        <v>280.68439999999998</v>
      </c>
      <c r="AG303" s="1">
        <v>46080</v>
      </c>
      <c r="AH303" s="2">
        <v>321.98680000000002</v>
      </c>
      <c r="AI303" s="1">
        <v>46080</v>
      </c>
      <c r="AJ303" s="2">
        <v>1682.991</v>
      </c>
      <c r="AK303" s="1">
        <v>45716</v>
      </c>
      <c r="AL303" s="2">
        <v>12057.74</v>
      </c>
      <c r="AM303" s="1">
        <v>45716</v>
      </c>
      <c r="AN303" s="2">
        <v>5098.8599999999997</v>
      </c>
      <c r="AO303" s="1">
        <v>45716</v>
      </c>
      <c r="AP303" s="2">
        <v>5444.36</v>
      </c>
      <c r="AQ303" s="1">
        <v>45716</v>
      </c>
      <c r="AR303" s="2">
        <v>4917.2299999999996</v>
      </c>
      <c r="AS303" s="1">
        <v>45716</v>
      </c>
      <c r="AT303" s="2">
        <v>14586.46</v>
      </c>
      <c r="AU303" s="2">
        <v>45716</v>
      </c>
      <c r="AV303" s="2">
        <v>11806.16</v>
      </c>
      <c r="BC303" s="1">
        <v>45716</v>
      </c>
      <c r="BD303" s="2">
        <v>0.83</v>
      </c>
      <c r="BE303" s="1">
        <v>45716</v>
      </c>
      <c r="BF303" s="2">
        <v>18.739000000000001</v>
      </c>
      <c r="BG303" s="2">
        <v>45716</v>
      </c>
      <c r="BH303" s="2">
        <v>-9.6349999999999998</v>
      </c>
      <c r="BI303" s="1">
        <v>45716</v>
      </c>
      <c r="BJ303" s="2">
        <v>46.765999999999998</v>
      </c>
      <c r="BK303" s="1">
        <v>45716</v>
      </c>
      <c r="BL303" s="2">
        <v>869.43020000000001</v>
      </c>
      <c r="BM303" s="1"/>
      <c r="BO303" s="1"/>
    </row>
    <row r="304" spans="1:67" x14ac:dyDescent="0.25">
      <c r="A304" s="1">
        <v>45747</v>
      </c>
      <c r="B304" s="2">
        <v>3633.61</v>
      </c>
      <c r="C304" s="1">
        <v>45747</v>
      </c>
      <c r="D304" s="2">
        <v>316.0498</v>
      </c>
      <c r="E304" s="1">
        <v>45747</v>
      </c>
      <c r="F304" s="2">
        <v>253.37899999999999</v>
      </c>
      <c r="G304" s="1">
        <v>45747</v>
      </c>
      <c r="H304" s="2">
        <v>254.43878000000001</v>
      </c>
      <c r="I304" s="1">
        <v>45777</v>
      </c>
      <c r="J304" s="2">
        <v>153.7826</v>
      </c>
      <c r="K304" s="1">
        <v>45747</v>
      </c>
      <c r="L304" s="2">
        <v>166.0136</v>
      </c>
      <c r="M304" s="1">
        <v>45747</v>
      </c>
      <c r="N304" s="2">
        <v>179.7079</v>
      </c>
      <c r="O304" s="1">
        <v>45777</v>
      </c>
      <c r="P304" s="2">
        <v>133.39449999999999</v>
      </c>
      <c r="Q304" s="1">
        <v>45747</v>
      </c>
      <c r="R304" s="2">
        <v>165.6129</v>
      </c>
      <c r="S304" s="1">
        <v>45747</v>
      </c>
      <c r="T304" s="2">
        <v>587.01139999999998</v>
      </c>
      <c r="U304" s="1">
        <v>45747</v>
      </c>
      <c r="V304" s="2">
        <v>334.22949999999997</v>
      </c>
      <c r="W304" s="1">
        <v>45747</v>
      </c>
      <c r="X304" s="2">
        <v>2221.38</v>
      </c>
      <c r="Y304" s="2">
        <v>45747</v>
      </c>
      <c r="Z304" s="2">
        <v>31.798999999999999</v>
      </c>
      <c r="AA304" s="1"/>
      <c r="AC304" s="2">
        <v>45747</v>
      </c>
      <c r="AD304" s="2">
        <v>278.94290000000001</v>
      </c>
      <c r="AI304" s="1"/>
      <c r="AK304" s="1">
        <v>45747</v>
      </c>
      <c r="AL304" s="2">
        <v>11520.92</v>
      </c>
      <c r="AM304" s="1">
        <v>45747</v>
      </c>
      <c r="AN304" s="2">
        <v>4811.58</v>
      </c>
      <c r="AO304" s="1">
        <v>45747</v>
      </c>
      <c r="AP304" s="2">
        <v>5482.42</v>
      </c>
      <c r="AQ304" s="1">
        <v>45747</v>
      </c>
      <c r="AR304" s="2">
        <v>4636.87</v>
      </c>
      <c r="AS304" s="1">
        <v>45747</v>
      </c>
      <c r="AT304" s="2">
        <v>14403.69</v>
      </c>
      <c r="AU304" s="2">
        <v>45747</v>
      </c>
      <c r="AV304" s="2">
        <v>10919.58</v>
      </c>
      <c r="BC304" s="1">
        <v>45747</v>
      </c>
      <c r="BD304" s="2">
        <v>0.89</v>
      </c>
      <c r="BE304" s="1">
        <v>45747</v>
      </c>
      <c r="BF304" s="2">
        <v>25.393999999999998</v>
      </c>
      <c r="BG304" s="2">
        <v>45747</v>
      </c>
      <c r="BH304" s="2">
        <v>-9.8829999999999991</v>
      </c>
      <c r="BI304" s="1">
        <v>45747</v>
      </c>
      <c r="BJ304" s="2">
        <v>61.94</v>
      </c>
      <c r="BK304" s="1">
        <v>45747</v>
      </c>
      <c r="BL304" s="2">
        <v>875.37490000000003</v>
      </c>
      <c r="BM304" s="1"/>
      <c r="BO304" s="1"/>
    </row>
    <row r="305" spans="1:67" x14ac:dyDescent="0.25">
      <c r="A305" s="1">
        <v>45777</v>
      </c>
      <c r="B305" s="2">
        <v>3456.011</v>
      </c>
      <c r="C305" s="1">
        <v>45777</v>
      </c>
      <c r="D305" s="2">
        <v>308.7672</v>
      </c>
      <c r="E305" s="1">
        <v>45777</v>
      </c>
      <c r="F305" s="2">
        <v>243.47</v>
      </c>
      <c r="G305" s="1">
        <v>45777</v>
      </c>
      <c r="H305" s="2">
        <v>259.81533000000002</v>
      </c>
      <c r="I305" s="1">
        <v>45807</v>
      </c>
      <c r="J305" s="2">
        <v>153.42590000000001</v>
      </c>
      <c r="K305" s="1">
        <v>45777</v>
      </c>
      <c r="L305" s="2">
        <v>162.53890000000001</v>
      </c>
      <c r="M305" s="1">
        <v>45777</v>
      </c>
      <c r="N305" s="2">
        <v>177.30350000000001</v>
      </c>
      <c r="O305" s="1">
        <v>45807</v>
      </c>
      <c r="P305" s="2">
        <v>132.79759999999999</v>
      </c>
      <c r="Q305" s="1">
        <v>45777</v>
      </c>
      <c r="R305" s="2">
        <v>164.04660000000001</v>
      </c>
      <c r="S305" s="1">
        <v>45777</v>
      </c>
      <c r="T305" s="2">
        <v>592.79089999999997</v>
      </c>
      <c r="U305" s="1">
        <v>45777</v>
      </c>
      <c r="V305" s="2">
        <v>342.93369999999999</v>
      </c>
      <c r="W305" s="1">
        <v>45777</v>
      </c>
      <c r="X305" s="2">
        <v>2227.75</v>
      </c>
      <c r="Y305" s="2">
        <v>45777</v>
      </c>
      <c r="Z305" s="2">
        <v>55.511000000000003</v>
      </c>
      <c r="AA305" s="1"/>
      <c r="AC305" s="2">
        <v>45777</v>
      </c>
      <c r="AD305" s="2">
        <v>264.13670000000002</v>
      </c>
      <c r="AI305" s="1"/>
      <c r="AK305" s="1">
        <v>45777</v>
      </c>
      <c r="AL305" s="2">
        <v>11623.31</v>
      </c>
      <c r="AM305" s="1">
        <v>45777</v>
      </c>
      <c r="AN305" s="2">
        <v>4842.75</v>
      </c>
      <c r="AO305" s="1">
        <v>45777</v>
      </c>
      <c r="AP305" s="2">
        <v>5536.22</v>
      </c>
      <c r="AQ305" s="1">
        <v>45777</v>
      </c>
      <c r="AR305" s="2">
        <v>4789.88</v>
      </c>
      <c r="AS305" s="1">
        <v>45777</v>
      </c>
      <c r="AT305" s="2">
        <v>14206.88</v>
      </c>
      <c r="AU305" s="2">
        <v>45777</v>
      </c>
      <c r="AV305" s="2">
        <v>11267.29</v>
      </c>
      <c r="BC305" s="1">
        <v>45777</v>
      </c>
      <c r="BD305" s="2">
        <v>1</v>
      </c>
      <c r="BE305" s="1">
        <v>45777</v>
      </c>
      <c r="BF305" s="2">
        <v>43.384</v>
      </c>
      <c r="BG305" s="2">
        <v>45777</v>
      </c>
      <c r="BH305" s="2">
        <v>-12.914</v>
      </c>
      <c r="BI305" s="1">
        <v>45777</v>
      </c>
      <c r="BJ305" s="2">
        <v>94.927000000000007</v>
      </c>
      <c r="BK305" s="1">
        <v>45777</v>
      </c>
      <c r="BL305" s="2">
        <v>904.58699999999999</v>
      </c>
      <c r="BM305" s="1"/>
      <c r="BO305" s="1"/>
    </row>
    <row r="306" spans="1:67" x14ac:dyDescent="0.25">
      <c r="A306" s="1">
        <v>45807</v>
      </c>
      <c r="B306" s="2">
        <v>3379.3249999999998</v>
      </c>
      <c r="C306" s="1">
        <v>45807</v>
      </c>
      <c r="D306" s="2">
        <v>310.0915</v>
      </c>
      <c r="E306" s="1">
        <v>45807</v>
      </c>
      <c r="F306" s="2">
        <v>246.96799999999999</v>
      </c>
      <c r="G306" s="1">
        <v>45807</v>
      </c>
      <c r="H306" s="2">
        <v>262.71343000000002</v>
      </c>
      <c r="I306" s="1">
        <v>45838</v>
      </c>
      <c r="J306" s="2">
        <v>153.4975</v>
      </c>
      <c r="K306" s="1">
        <v>45807</v>
      </c>
      <c r="L306" s="2">
        <v>162.44229999999999</v>
      </c>
      <c r="M306" s="1">
        <v>45807</v>
      </c>
      <c r="N306" s="2">
        <v>176.74350000000001</v>
      </c>
      <c r="O306" s="1">
        <v>45838</v>
      </c>
      <c r="P306" s="2">
        <v>131.66</v>
      </c>
      <c r="Q306" s="1">
        <v>45807</v>
      </c>
      <c r="R306" s="2">
        <v>163.9659</v>
      </c>
      <c r="S306" s="1">
        <v>45807</v>
      </c>
      <c r="T306" s="2">
        <v>590.83119999999997</v>
      </c>
      <c r="U306" s="1">
        <v>45807</v>
      </c>
      <c r="V306" s="2">
        <v>341.4126</v>
      </c>
      <c r="W306" s="1">
        <v>45807</v>
      </c>
      <c r="X306" s="2">
        <v>2207.41</v>
      </c>
      <c r="Y306" s="2">
        <v>45807</v>
      </c>
      <c r="Z306" s="2">
        <v>49.668999999999997</v>
      </c>
      <c r="AA306" s="1"/>
      <c r="AC306" s="2">
        <v>45807</v>
      </c>
      <c r="AD306" s="2">
        <v>263.05619999999999</v>
      </c>
      <c r="AI306" s="1"/>
      <c r="AK306" s="1">
        <v>45807</v>
      </c>
      <c r="AL306" s="2">
        <v>12311.31</v>
      </c>
      <c r="AM306" s="1">
        <v>45807</v>
      </c>
      <c r="AN306" s="2">
        <v>5065.5600000000004</v>
      </c>
      <c r="AO306" s="1">
        <v>45807</v>
      </c>
      <c r="AP306" s="2">
        <v>5596.16</v>
      </c>
      <c r="AQ306" s="1">
        <v>45807</v>
      </c>
      <c r="AR306" s="2">
        <v>5134.62</v>
      </c>
      <c r="AS306" s="1">
        <v>45807</v>
      </c>
      <c r="AT306" s="2">
        <v>14641.42</v>
      </c>
      <c r="AU306" s="2">
        <v>45807</v>
      </c>
      <c r="AV306" s="2">
        <v>12247.45</v>
      </c>
      <c r="BC306" s="1">
        <v>45807</v>
      </c>
      <c r="BD306" s="2">
        <v>0.83</v>
      </c>
      <c r="BE306" s="1">
        <v>45807</v>
      </c>
      <c r="BF306" s="2">
        <v>43.518999999999998</v>
      </c>
      <c r="BG306" s="2">
        <v>45807</v>
      </c>
      <c r="BH306" s="2">
        <v>4.9189999999999996</v>
      </c>
      <c r="BI306" s="1">
        <v>45807</v>
      </c>
      <c r="BJ306" s="2">
        <v>96.536000000000001</v>
      </c>
      <c r="BK306" s="1">
        <v>45807</v>
      </c>
      <c r="BL306" s="2">
        <v>898.70180000000005</v>
      </c>
      <c r="BM306" s="1"/>
      <c r="BO306" s="1"/>
    </row>
    <row r="307" spans="1:67" x14ac:dyDescent="0.25">
      <c r="A307" s="1">
        <v>45838</v>
      </c>
      <c r="B307" s="2">
        <v>3430.6390000000001</v>
      </c>
      <c r="C307" s="1">
        <v>45838</v>
      </c>
      <c r="D307" s="2">
        <v>308.90620000000001</v>
      </c>
      <c r="E307" s="1">
        <v>45838</v>
      </c>
      <c r="F307" s="2">
        <v>244.60499999999999</v>
      </c>
      <c r="G307" s="1">
        <v>45838</v>
      </c>
      <c r="H307" s="2">
        <v>269.93119000000002</v>
      </c>
      <c r="I307" s="1">
        <v>45869</v>
      </c>
      <c r="J307" s="2">
        <v>153.05350000000001</v>
      </c>
      <c r="K307" s="1">
        <v>45838</v>
      </c>
      <c r="L307" s="2">
        <v>162.352</v>
      </c>
      <c r="M307" s="1">
        <v>45838</v>
      </c>
      <c r="N307" s="2">
        <v>176.7139</v>
      </c>
      <c r="O307" s="1">
        <v>45869</v>
      </c>
      <c r="P307" s="2">
        <v>131.87389999999999</v>
      </c>
      <c r="Q307" s="1">
        <v>45838</v>
      </c>
      <c r="R307" s="2">
        <v>166.0805</v>
      </c>
      <c r="S307" s="1">
        <v>45838</v>
      </c>
      <c r="T307" s="2">
        <v>596.48919999999998</v>
      </c>
      <c r="U307" s="1">
        <v>45838</v>
      </c>
      <c r="V307" s="2">
        <v>349.90390000000002</v>
      </c>
      <c r="W307" s="1">
        <v>45838</v>
      </c>
      <c r="X307" s="2">
        <v>2246.65</v>
      </c>
      <c r="Y307" s="2">
        <v>45838</v>
      </c>
      <c r="Z307" s="2">
        <v>50.466000000000001</v>
      </c>
      <c r="AA307" s="1"/>
      <c r="AC307" s="2">
        <v>45838</v>
      </c>
      <c r="AD307" s="2">
        <v>268.92450000000002</v>
      </c>
      <c r="AI307" s="1"/>
      <c r="AK307" s="1">
        <v>45838</v>
      </c>
      <c r="AL307" s="2">
        <v>12842.58</v>
      </c>
      <c r="AM307" s="1">
        <v>45838</v>
      </c>
      <c r="AN307" s="2">
        <v>5254.06</v>
      </c>
      <c r="AO307" s="1">
        <v>45838</v>
      </c>
      <c r="AP307" s="2">
        <v>5611.95</v>
      </c>
      <c r="AQ307" s="1">
        <v>45838</v>
      </c>
      <c r="AR307" s="2">
        <v>5321.71</v>
      </c>
      <c r="AS307" s="1">
        <v>45838</v>
      </c>
      <c r="AT307" s="2">
        <v>15178.7</v>
      </c>
      <c r="AU307" s="2">
        <v>45838</v>
      </c>
      <c r="AV307" s="2">
        <v>12849.37</v>
      </c>
      <c r="BC307" s="1">
        <v>45838</v>
      </c>
      <c r="BD307" s="2">
        <v>0.79</v>
      </c>
      <c r="BE307" s="1">
        <v>45838</v>
      </c>
      <c r="BF307" s="2">
        <v>42.723999999999997</v>
      </c>
      <c r="BG307" s="2">
        <v>45838</v>
      </c>
      <c r="BH307" s="2">
        <v>-7.6079999999999997</v>
      </c>
      <c r="BI307" s="1">
        <v>45838</v>
      </c>
      <c r="BJ307" s="2">
        <v>97.554000000000002</v>
      </c>
      <c r="BK307" s="1">
        <v>45838</v>
      </c>
      <c r="BL307" s="2">
        <v>915.45029999999997</v>
      </c>
      <c r="BM307" s="1"/>
      <c r="BO307" s="1"/>
    </row>
    <row r="308" spans="1:67" x14ac:dyDescent="0.25">
      <c r="A308" s="1">
        <v>45869</v>
      </c>
      <c r="B308" s="2">
        <v>3429.1990000000001</v>
      </c>
      <c r="C308" s="1">
        <v>45869</v>
      </c>
      <c r="D308" s="2">
        <v>313.6386</v>
      </c>
      <c r="E308" s="1">
        <v>45869</v>
      </c>
      <c r="F308" s="2">
        <v>248.44399999999999</v>
      </c>
      <c r="G308" s="1">
        <v>45869</v>
      </c>
      <c r="H308" s="2">
        <v>265.95348000000001</v>
      </c>
      <c r="I308" s="1">
        <v>45898</v>
      </c>
      <c r="J308" s="2">
        <v>153.87110000000001</v>
      </c>
      <c r="K308" s="1">
        <v>45869</v>
      </c>
      <c r="L308" s="2">
        <v>163.06399999999999</v>
      </c>
      <c r="M308" s="1">
        <v>45869</v>
      </c>
      <c r="N308" s="2">
        <v>176.61959999999999</v>
      </c>
      <c r="O308" s="1">
        <v>45898</v>
      </c>
      <c r="P308" s="2">
        <v>132.4392</v>
      </c>
      <c r="Q308" s="1">
        <v>45869</v>
      </c>
      <c r="R308" s="2">
        <v>163.40430000000001</v>
      </c>
      <c r="S308" s="1">
        <v>45869</v>
      </c>
      <c r="T308" s="2">
        <v>596.01189999999997</v>
      </c>
      <c r="U308" s="1">
        <v>45869</v>
      </c>
      <c r="V308" s="2">
        <v>344.02809999999999</v>
      </c>
      <c r="W308" s="1">
        <v>45869</v>
      </c>
      <c r="X308" s="2">
        <v>2237.5500000000002</v>
      </c>
      <c r="Y308" s="2">
        <v>45869</v>
      </c>
      <c r="Z308" s="2">
        <v>41.485999999999997</v>
      </c>
      <c r="AA308" s="1"/>
      <c r="AC308" s="2">
        <v>45869</v>
      </c>
      <c r="AD308" s="2">
        <v>267.05259999999998</v>
      </c>
      <c r="AI308" s="1"/>
      <c r="AK308" s="1">
        <v>45869</v>
      </c>
      <c r="AL308" s="2">
        <v>13007.9</v>
      </c>
      <c r="AM308" s="1">
        <v>45869</v>
      </c>
      <c r="AN308" s="2">
        <v>5245.64</v>
      </c>
      <c r="AO308" s="1">
        <v>45869</v>
      </c>
      <c r="AP308" s="2">
        <v>5492.13</v>
      </c>
      <c r="AQ308" s="1">
        <v>45869</v>
      </c>
      <c r="AR308" s="2">
        <v>5279.5</v>
      </c>
      <c r="AS308" s="1">
        <v>45869</v>
      </c>
      <c r="AT308" s="2">
        <v>15242.48</v>
      </c>
      <c r="AU308" s="2">
        <v>45869</v>
      </c>
      <c r="AV308" s="2">
        <v>13116.9</v>
      </c>
      <c r="BC308" s="1">
        <v>45869</v>
      </c>
      <c r="BD308" s="2">
        <v>0.72</v>
      </c>
      <c r="BE308" s="1">
        <v>45869</v>
      </c>
      <c r="BF308" s="2">
        <v>39.988999999999997</v>
      </c>
      <c r="BG308" s="2">
        <v>45869</v>
      </c>
      <c r="BH308" s="2">
        <v>2.9049999999999998</v>
      </c>
      <c r="BI308" s="1">
        <v>45869</v>
      </c>
      <c r="BJ308" s="2">
        <v>92.584999999999994</v>
      </c>
      <c r="BK308" s="1">
        <v>45869</v>
      </c>
      <c r="BL308" s="2">
        <v>899.07529999999997</v>
      </c>
      <c r="BM308" s="1"/>
      <c r="BO308" s="1"/>
    </row>
    <row r="309" spans="1:67" x14ac:dyDescent="0.25">
      <c r="A309" s="1">
        <v>45898</v>
      </c>
      <c r="B309" s="2">
        <v>3523.288</v>
      </c>
      <c r="C309" s="1">
        <v>45898</v>
      </c>
      <c r="D309" s="2">
        <v>314.37360000000001</v>
      </c>
      <c r="E309" s="1">
        <v>45898</v>
      </c>
      <c r="F309" s="2">
        <v>247.559</v>
      </c>
      <c r="G309" s="1">
        <v>45898</v>
      </c>
      <c r="H309" s="2">
        <v>270.96938</v>
      </c>
      <c r="I309" s="1">
        <v>45930</v>
      </c>
      <c r="J309" s="2">
        <v>155.16130000000001</v>
      </c>
      <c r="K309" s="1">
        <v>45898</v>
      </c>
      <c r="L309" s="2">
        <v>164.34379999999999</v>
      </c>
      <c r="M309" s="1">
        <v>45898</v>
      </c>
      <c r="N309" s="2">
        <v>176.65559999999999</v>
      </c>
      <c r="O309" s="1">
        <v>45930</v>
      </c>
      <c r="P309" s="2">
        <v>133.86799999999999</v>
      </c>
      <c r="Q309" s="1">
        <v>45898</v>
      </c>
      <c r="R309" s="2">
        <v>164.69929999999999</v>
      </c>
      <c r="S309" s="1">
        <v>45898</v>
      </c>
      <c r="T309" s="2">
        <v>599.27790000000005</v>
      </c>
      <c r="U309" s="1">
        <v>45898</v>
      </c>
      <c r="V309" s="2">
        <v>347.61180000000002</v>
      </c>
      <c r="W309" s="1">
        <v>45898</v>
      </c>
      <c r="X309" s="2">
        <v>2273.5700000000002</v>
      </c>
      <c r="Y309" s="2">
        <v>45898</v>
      </c>
      <c r="Z309" s="2">
        <v>60.965000000000003</v>
      </c>
      <c r="AA309" s="1"/>
      <c r="AC309" s="2">
        <v>45898</v>
      </c>
      <c r="AD309" s="2">
        <v>271.88099999999997</v>
      </c>
      <c r="AI309" s="1"/>
      <c r="AK309" s="1">
        <v>45898</v>
      </c>
      <c r="AL309" s="2">
        <v>13347.22</v>
      </c>
      <c r="AM309" s="1">
        <v>45898</v>
      </c>
      <c r="AN309" s="2">
        <v>5370.33</v>
      </c>
      <c r="AO309" s="1">
        <v>45898</v>
      </c>
      <c r="AP309" s="2">
        <v>5634.28</v>
      </c>
      <c r="AQ309" s="1">
        <v>45898</v>
      </c>
      <c r="AR309" s="2">
        <v>5372.99</v>
      </c>
      <c r="AS309" s="1">
        <v>45898</v>
      </c>
      <c r="AT309" s="2">
        <v>15789.43</v>
      </c>
      <c r="AU309" s="2">
        <v>45898</v>
      </c>
      <c r="AV309" s="2">
        <v>13343.35</v>
      </c>
      <c r="BC309" s="1">
        <v>45898</v>
      </c>
      <c r="BD309" s="2">
        <v>0.75</v>
      </c>
      <c r="BE309" s="1">
        <v>45898</v>
      </c>
      <c r="BF309" s="2">
        <v>53.09</v>
      </c>
      <c r="BG309" s="2">
        <v>45898</v>
      </c>
      <c r="BH309" s="2">
        <v>7.641</v>
      </c>
      <c r="BI309" s="1">
        <v>45898</v>
      </c>
      <c r="BJ309" s="2">
        <v>122.99299999999999</v>
      </c>
      <c r="BK309" s="1">
        <v>45898</v>
      </c>
      <c r="BL309" s="2">
        <v>911.32330000000002</v>
      </c>
      <c r="BM309" s="1"/>
      <c r="BO309" s="1"/>
    </row>
    <row r="310" spans="1:67" x14ac:dyDescent="0.25">
      <c r="A310" s="1">
        <v>45930</v>
      </c>
      <c r="B310" s="2">
        <v>3725.194</v>
      </c>
      <c r="C310" s="1">
        <v>45930</v>
      </c>
      <c r="D310" s="2">
        <v>317.07679999999999</v>
      </c>
      <c r="E310" s="1">
        <v>45930</v>
      </c>
      <c r="F310" s="2">
        <v>248.233</v>
      </c>
      <c r="G310" s="1">
        <v>45930</v>
      </c>
      <c r="H310" s="2">
        <v>274.64893000000001</v>
      </c>
      <c r="I310" s="1">
        <v>45961</v>
      </c>
      <c r="J310" s="2">
        <v>155.0522</v>
      </c>
      <c r="K310" s="1">
        <v>45930</v>
      </c>
      <c r="L310" s="2">
        <v>168.16480000000001</v>
      </c>
      <c r="M310" s="1">
        <v>45930</v>
      </c>
      <c r="N310" s="2">
        <v>174.81639999999999</v>
      </c>
      <c r="O310" s="1">
        <v>45961</v>
      </c>
      <c r="P310" s="2">
        <v>133.58840000000001</v>
      </c>
      <c r="Q310" s="1">
        <v>45930</v>
      </c>
      <c r="R310" s="2">
        <v>165.51060000000001</v>
      </c>
      <c r="S310" s="1">
        <v>45930</v>
      </c>
      <c r="T310" s="2">
        <v>603.69209999999998</v>
      </c>
      <c r="U310" s="1">
        <v>45930</v>
      </c>
      <c r="V310" s="2">
        <v>350.03919999999999</v>
      </c>
      <c r="W310" s="1">
        <v>45930</v>
      </c>
      <c r="X310" s="2">
        <v>2301.21</v>
      </c>
      <c r="Y310" s="2">
        <v>45930</v>
      </c>
      <c r="Z310" s="2">
        <v>53.991</v>
      </c>
      <c r="AA310" s="1"/>
      <c r="AC310" s="2">
        <v>45930</v>
      </c>
      <c r="AD310" s="2">
        <v>277.06560000000002</v>
      </c>
      <c r="AI310" s="1"/>
      <c r="AK310" s="1">
        <v>45930</v>
      </c>
      <c r="AL310" s="2">
        <v>13776.27</v>
      </c>
      <c r="AM310" s="1">
        <v>45930</v>
      </c>
      <c r="AN310" s="2">
        <v>5543.6</v>
      </c>
      <c r="AO310" s="1">
        <v>45930</v>
      </c>
      <c r="AP310" s="2">
        <v>5645.41</v>
      </c>
      <c r="AQ310" s="1">
        <v>45930</v>
      </c>
      <c r="AR310" s="2">
        <v>5629.16</v>
      </c>
      <c r="AS310" s="1">
        <v>45930</v>
      </c>
      <c r="AT310" s="2">
        <v>16063.3</v>
      </c>
      <c r="AU310" s="2">
        <v>45930</v>
      </c>
      <c r="AV310" s="2">
        <v>13952.15</v>
      </c>
      <c r="BC310" s="1">
        <v>45930</v>
      </c>
      <c r="BD310" s="2">
        <v>0.7</v>
      </c>
      <c r="BE310" s="1">
        <v>45930</v>
      </c>
      <c r="BF310" s="2">
        <v>40.774999999999999</v>
      </c>
      <c r="BG310" s="2">
        <v>45930</v>
      </c>
      <c r="BH310" s="2">
        <v>20.501000000000001</v>
      </c>
      <c r="BI310" s="1">
        <v>45930</v>
      </c>
      <c r="BJ310" s="2">
        <v>98.847999999999999</v>
      </c>
      <c r="BK310" s="1">
        <v>45930</v>
      </c>
      <c r="BL310" s="2">
        <v>916.87739999999997</v>
      </c>
      <c r="BM310" s="1"/>
      <c r="BO310" s="1"/>
    </row>
    <row r="311" spans="1:67" x14ac:dyDescent="0.25">
      <c r="A311" s="1">
        <v>45961</v>
      </c>
      <c r="B311" s="2">
        <v>3777.4690000000001</v>
      </c>
      <c r="C311" s="1">
        <v>45961</v>
      </c>
      <c r="D311" s="2">
        <v>321.2158</v>
      </c>
      <c r="E311" s="1">
        <v>45961</v>
      </c>
      <c r="F311" s="2">
        <v>251.727</v>
      </c>
      <c r="G311" s="1">
        <v>45961</v>
      </c>
      <c r="H311" s="2">
        <v>273.77791000000002</v>
      </c>
      <c r="I311" s="1">
        <v>45989</v>
      </c>
      <c r="J311" s="2">
        <v>155.30539999999999</v>
      </c>
      <c r="K311" s="1">
        <v>45961</v>
      </c>
      <c r="L311" s="2">
        <v>170.0909</v>
      </c>
      <c r="M311" s="1">
        <v>45961</v>
      </c>
      <c r="N311" s="2">
        <v>172.84909999999999</v>
      </c>
      <c r="O311" s="1">
        <v>45989</v>
      </c>
      <c r="P311" s="2">
        <v>133.8862</v>
      </c>
      <c r="Q311" s="1">
        <v>45961</v>
      </c>
      <c r="R311" s="2">
        <v>165.0367</v>
      </c>
      <c r="S311" s="1">
        <v>45961</v>
      </c>
      <c r="T311" s="2">
        <v>608.4579</v>
      </c>
      <c r="U311" s="1">
        <v>45961</v>
      </c>
      <c r="V311" s="2">
        <v>350.64830000000001</v>
      </c>
      <c r="W311" s="1">
        <v>45961</v>
      </c>
      <c r="X311" s="2">
        <v>2321.08</v>
      </c>
      <c r="Y311" s="2">
        <v>45961</v>
      </c>
      <c r="Z311" s="2">
        <v>50.179000000000002</v>
      </c>
      <c r="AA311" s="1"/>
      <c r="AC311" s="2">
        <v>45961</v>
      </c>
      <c r="AD311" s="2">
        <v>283.23079999999999</v>
      </c>
      <c r="AI311" s="1"/>
      <c r="AK311" s="1">
        <v>45961</v>
      </c>
      <c r="AL311" s="2">
        <v>14052.15</v>
      </c>
      <c r="AM311" s="1">
        <v>45961</v>
      </c>
      <c r="AN311" s="2">
        <v>5656.19</v>
      </c>
      <c r="AO311" s="1">
        <v>45961</v>
      </c>
      <c r="AP311" s="2">
        <v>5513.62</v>
      </c>
      <c r="AQ311" s="1">
        <v>45961</v>
      </c>
      <c r="AR311" s="2">
        <v>5624.82</v>
      </c>
      <c r="AS311" s="1">
        <v>45961</v>
      </c>
      <c r="AT311" s="2">
        <v>15984.59</v>
      </c>
      <c r="AU311" s="2">
        <v>45961</v>
      </c>
      <c r="AV311" s="2">
        <v>14539.44</v>
      </c>
      <c r="BC311" s="1">
        <v>45961</v>
      </c>
      <c r="BD311" s="2">
        <v>0.74</v>
      </c>
      <c r="BE311" s="1">
        <v>45961</v>
      </c>
      <c r="BF311" s="2">
        <v>38.860999999999997</v>
      </c>
      <c r="BG311" s="2">
        <v>45961</v>
      </c>
      <c r="BH311" s="2">
        <v>24.579000000000001</v>
      </c>
      <c r="BI311" s="1">
        <v>45961</v>
      </c>
      <c r="BJ311" s="2">
        <v>96.227999999999994</v>
      </c>
      <c r="BK311" s="1">
        <v>45961</v>
      </c>
      <c r="BL311" s="2">
        <v>914.40689999999995</v>
      </c>
      <c r="BM311" s="1"/>
      <c r="BO311" s="1"/>
    </row>
    <row r="312" spans="1:67" x14ac:dyDescent="0.25">
      <c r="A312" s="1">
        <v>45989</v>
      </c>
      <c r="B312" s="2">
        <v>3829.1860000000001</v>
      </c>
      <c r="C312" s="1">
        <v>45989</v>
      </c>
      <c r="D312" s="2">
        <v>326.23180000000002</v>
      </c>
      <c r="E312" s="1">
        <v>45989</v>
      </c>
      <c r="F312" s="2">
        <v>254.52</v>
      </c>
      <c r="G312" s="1">
        <v>45989</v>
      </c>
      <c r="H312" s="2">
        <v>285.18040999999999</v>
      </c>
      <c r="I312" s="1">
        <v>46022</v>
      </c>
      <c r="J312" s="2">
        <v>156.06</v>
      </c>
      <c r="K312" s="1">
        <v>45989</v>
      </c>
      <c r="L312" s="2">
        <v>169.11070000000001</v>
      </c>
      <c r="M312" s="1">
        <v>45989</v>
      </c>
      <c r="N312" s="2">
        <v>173.49510000000001</v>
      </c>
      <c r="O312" s="1">
        <v>46022</v>
      </c>
      <c r="P312" s="2">
        <v>134.3099</v>
      </c>
      <c r="Q312" s="1">
        <v>45989</v>
      </c>
      <c r="R312" s="2">
        <v>166.02260000000001</v>
      </c>
      <c r="S312" s="1">
        <v>45989</v>
      </c>
      <c r="T312" s="2">
        <v>609.73699999999997</v>
      </c>
      <c r="U312" s="1">
        <v>45989</v>
      </c>
      <c r="V312" s="2">
        <v>351.28160000000003</v>
      </c>
      <c r="W312" s="1">
        <v>45989</v>
      </c>
      <c r="X312" s="2">
        <v>2335.52</v>
      </c>
      <c r="Y312" s="2">
        <v>45989</v>
      </c>
      <c r="Z312" s="2">
        <v>51.984999999999999</v>
      </c>
      <c r="AA312" s="1"/>
      <c r="AC312" s="2">
        <v>45989</v>
      </c>
      <c r="AD312" s="2">
        <v>289.11579999999998</v>
      </c>
      <c r="AI312" s="1"/>
      <c r="AK312" s="1">
        <v>45989</v>
      </c>
      <c r="AL312" s="2">
        <v>14091.84</v>
      </c>
      <c r="AM312" s="1">
        <v>45989</v>
      </c>
      <c r="AN312" s="2">
        <v>5734.26</v>
      </c>
      <c r="AO312" s="1">
        <v>45989</v>
      </c>
      <c r="AP312" s="2">
        <v>5657.37</v>
      </c>
      <c r="AQ312" s="1">
        <v>45989</v>
      </c>
      <c r="AR312" s="2">
        <v>5616.38</v>
      </c>
      <c r="AS312" s="1">
        <v>45989</v>
      </c>
      <c r="AT312" s="2">
        <v>16322.18</v>
      </c>
      <c r="AU312" s="2">
        <v>45989</v>
      </c>
      <c r="AV312" s="2">
        <v>14352.37</v>
      </c>
      <c r="BC312" s="1">
        <v>45989</v>
      </c>
      <c r="BD312" s="2">
        <v>0.76</v>
      </c>
      <c r="BE312" s="1">
        <v>45989</v>
      </c>
      <c r="BF312" s="2">
        <v>41.51</v>
      </c>
      <c r="BG312" s="2">
        <v>45989</v>
      </c>
      <c r="BH312" s="2">
        <v>20.478000000000002</v>
      </c>
      <c r="BI312" s="1">
        <v>45989</v>
      </c>
      <c r="BJ312" s="2">
        <v>106.468</v>
      </c>
      <c r="BK312" s="1">
        <v>45989</v>
      </c>
      <c r="BL312" s="2">
        <v>916.69510000000002</v>
      </c>
      <c r="BM312" s="1"/>
      <c r="BO312" s="1"/>
    </row>
    <row r="313" spans="1:67" x14ac:dyDescent="0.25">
      <c r="A313" s="1">
        <v>46022</v>
      </c>
      <c r="B313" s="2">
        <v>3902.4960000000001</v>
      </c>
      <c r="C313" s="1">
        <v>46022</v>
      </c>
      <c r="D313" s="2">
        <v>325.85890000000001</v>
      </c>
      <c r="E313" s="1">
        <v>46022</v>
      </c>
      <c r="F313" s="2">
        <v>255.29400000000001</v>
      </c>
      <c r="G313" s="1">
        <v>46022</v>
      </c>
      <c r="H313" s="2">
        <v>287.45871</v>
      </c>
      <c r="I313" s="1">
        <v>46052</v>
      </c>
      <c r="J313" s="2">
        <v>157.3383</v>
      </c>
      <c r="K313" s="1">
        <v>46022</v>
      </c>
      <c r="L313" s="2">
        <v>170.5231</v>
      </c>
      <c r="M313" s="1">
        <v>46022</v>
      </c>
      <c r="N313" s="2">
        <v>174.41079999999999</v>
      </c>
      <c r="O313" s="1">
        <v>46052</v>
      </c>
      <c r="P313" s="2">
        <v>135.12790000000001</v>
      </c>
      <c r="Q313" s="1">
        <v>46022</v>
      </c>
      <c r="R313" s="2">
        <v>166.64089999999999</v>
      </c>
      <c r="S313" s="1">
        <v>46022</v>
      </c>
      <c r="T313" s="2">
        <v>608.42970000000003</v>
      </c>
      <c r="U313" s="1">
        <v>46022</v>
      </c>
      <c r="V313" s="2">
        <v>352.62959999999998</v>
      </c>
      <c r="W313" s="1">
        <v>46022</v>
      </c>
      <c r="X313" s="2">
        <v>2340.5300000000002</v>
      </c>
      <c r="Y313" s="2">
        <v>46022</v>
      </c>
      <c r="Z313" s="2">
        <v>68.986000000000004</v>
      </c>
      <c r="AA313" s="1"/>
      <c r="AC313" s="2">
        <v>46022</v>
      </c>
      <c r="AD313" s="2">
        <v>288.68689999999998</v>
      </c>
      <c r="AI313" s="1"/>
      <c r="AK313" s="1">
        <v>46022</v>
      </c>
      <c r="AL313" s="2">
        <v>14205.75</v>
      </c>
      <c r="AM313" s="1">
        <v>46022</v>
      </c>
      <c r="AN313" s="2">
        <v>5768.21</v>
      </c>
      <c r="AO313" s="1">
        <v>46022</v>
      </c>
      <c r="AP313" s="2">
        <v>5617.46</v>
      </c>
      <c r="AQ313" s="1">
        <v>46022</v>
      </c>
      <c r="AR313" s="2">
        <v>5676.35</v>
      </c>
      <c r="AS313" s="1">
        <v>46022</v>
      </c>
      <c r="AT313" s="2">
        <v>16599.48</v>
      </c>
      <c r="AU313" s="2">
        <v>46022</v>
      </c>
      <c r="AV313" s="2">
        <v>14339.2</v>
      </c>
      <c r="BC313" s="1">
        <v>46022</v>
      </c>
      <c r="BD313" s="2">
        <v>0.73</v>
      </c>
      <c r="BE313" s="1">
        <v>46022</v>
      </c>
      <c r="BF313" s="2">
        <v>43.829000000000001</v>
      </c>
      <c r="BG313" s="2">
        <v>46022</v>
      </c>
      <c r="BH313" s="2">
        <v>52.771000000000001</v>
      </c>
      <c r="BI313" s="1">
        <v>46022</v>
      </c>
      <c r="BJ313" s="2">
        <v>111.66200000000001</v>
      </c>
      <c r="BK313" s="1">
        <v>46022</v>
      </c>
      <c r="BL313" s="2">
        <v>917.84169999999995</v>
      </c>
      <c r="BM313" s="1"/>
      <c r="BO313" s="1"/>
    </row>
    <row r="314" spans="1:67" x14ac:dyDescent="0.25">
      <c r="A314" s="1">
        <v>46052</v>
      </c>
      <c r="B314" s="2">
        <v>4086.1790000000001</v>
      </c>
      <c r="C314" s="1">
        <v>46052</v>
      </c>
      <c r="D314" s="2">
        <v>327.15609999999998</v>
      </c>
      <c r="E314" s="1">
        <v>46052</v>
      </c>
      <c r="F314" s="2">
        <v>258.44600000000003</v>
      </c>
      <c r="G314" s="1">
        <v>46052</v>
      </c>
      <c r="H314" s="2">
        <v>292.27731</v>
      </c>
      <c r="I314" s="1">
        <v>46080</v>
      </c>
      <c r="J314" s="2">
        <v>158.08860000000001</v>
      </c>
      <c r="K314" s="1">
        <v>46052</v>
      </c>
      <c r="L314" s="2">
        <v>172.9692</v>
      </c>
      <c r="M314" s="1">
        <v>46052</v>
      </c>
      <c r="N314" s="2">
        <v>173.63149999999999</v>
      </c>
      <c r="O314" s="1">
        <v>46080</v>
      </c>
      <c r="P314" s="2">
        <v>136.00960000000001</v>
      </c>
      <c r="Q314" s="1">
        <v>46052</v>
      </c>
      <c r="R314" s="2">
        <v>169.06950000000001</v>
      </c>
      <c r="S314" s="1">
        <v>46052</v>
      </c>
      <c r="T314" s="2">
        <v>609.90049999999997</v>
      </c>
      <c r="U314" s="1">
        <v>46052</v>
      </c>
      <c r="V314" s="2">
        <v>358.4205</v>
      </c>
      <c r="W314" s="1">
        <v>46052</v>
      </c>
      <c r="X314" s="2">
        <v>2350.11</v>
      </c>
      <c r="Y314" s="2">
        <v>46052</v>
      </c>
      <c r="Z314" s="2">
        <v>70.897000000000006</v>
      </c>
      <c r="AA314" s="1"/>
      <c r="AC314" s="2">
        <v>46052</v>
      </c>
      <c r="AD314" s="2">
        <v>316.58339999999998</v>
      </c>
      <c r="AI314" s="1"/>
      <c r="AK314" s="1">
        <v>46052</v>
      </c>
      <c r="AL314" s="2">
        <v>14523.66</v>
      </c>
      <c r="AM314" s="1">
        <v>46052</v>
      </c>
      <c r="AN314" s="2">
        <v>5961.04</v>
      </c>
      <c r="AO314" s="1">
        <v>46052</v>
      </c>
      <c r="AP314" s="2">
        <v>5680.32</v>
      </c>
      <c r="AQ314" s="1">
        <v>46052</v>
      </c>
      <c r="AR314" s="2">
        <v>5867.02</v>
      </c>
      <c r="AS314" s="1">
        <v>46052</v>
      </c>
      <c r="AT314" s="2">
        <v>17378.79</v>
      </c>
      <c r="AU314" s="2">
        <v>46052</v>
      </c>
      <c r="AV314" s="2">
        <v>14298.02</v>
      </c>
      <c r="BC314" s="1">
        <v>46052</v>
      </c>
      <c r="BD314" s="2">
        <v>0.69</v>
      </c>
      <c r="BE314" s="1">
        <v>46052</v>
      </c>
      <c r="BF314" s="2">
        <v>44.567999999999998</v>
      </c>
      <c r="BG314" s="2">
        <v>46052</v>
      </c>
      <c r="BH314" s="2">
        <v>56.890999999999998</v>
      </c>
      <c r="BI314" s="1">
        <v>46052</v>
      </c>
      <c r="BJ314" s="2">
        <v>108.26900000000001</v>
      </c>
      <c r="BK314" s="1">
        <v>46052</v>
      </c>
      <c r="BL314" s="2">
        <v>926.20010000000002</v>
      </c>
      <c r="BM314" s="1"/>
      <c r="BO314" s="1"/>
    </row>
    <row r="315" spans="1:67" x14ac:dyDescent="0.25">
      <c r="A315" s="1">
        <v>46080</v>
      </c>
      <c r="B315" s="2">
        <v>4240.3580000000002</v>
      </c>
      <c r="C315" s="1">
        <v>46080</v>
      </c>
      <c r="D315" s="2">
        <v>331.81540000000001</v>
      </c>
      <c r="E315" s="1">
        <v>46080</v>
      </c>
      <c r="F315" s="2">
        <v>262.72399999999999</v>
      </c>
      <c r="G315" s="1">
        <v>46080</v>
      </c>
      <c r="H315" s="2">
        <v>295.81581</v>
      </c>
      <c r="I315" s="1"/>
      <c r="K315" s="1">
        <v>46080</v>
      </c>
      <c r="L315" s="2">
        <v>175.81010000000001</v>
      </c>
      <c r="M315" s="1">
        <v>46080</v>
      </c>
      <c r="N315" s="2">
        <v>173.67230000000001</v>
      </c>
      <c r="Q315" s="1">
        <v>46080</v>
      </c>
      <c r="R315" s="2">
        <v>168.32300000000001</v>
      </c>
      <c r="S315" s="1">
        <v>46080</v>
      </c>
      <c r="T315" s="2">
        <v>618.47379999999998</v>
      </c>
      <c r="U315" s="1">
        <v>46080</v>
      </c>
      <c r="V315" s="2">
        <v>362.38549999999998</v>
      </c>
      <c r="W315" s="1">
        <v>46080</v>
      </c>
      <c r="X315" s="2">
        <v>2389.35</v>
      </c>
      <c r="Y315" s="2">
        <v>46080</v>
      </c>
      <c r="Z315" s="2">
        <v>55.64</v>
      </c>
      <c r="AA315" s="1"/>
      <c r="AC315" s="2">
        <v>46080</v>
      </c>
      <c r="AD315" s="2">
        <v>320.65359999999998</v>
      </c>
      <c r="AI315" s="1"/>
      <c r="AK315" s="1">
        <v>46080</v>
      </c>
      <c r="AL315" s="2">
        <v>14630.05</v>
      </c>
      <c r="AM315" s="1">
        <v>46080</v>
      </c>
      <c r="AN315" s="2">
        <v>6029.54</v>
      </c>
      <c r="AO315" s="1">
        <v>46080</v>
      </c>
      <c r="AP315" s="2">
        <v>5929.94</v>
      </c>
      <c r="AQ315" s="1">
        <v>46080</v>
      </c>
      <c r="AR315" s="2">
        <v>5918.34</v>
      </c>
      <c r="AS315" s="1">
        <v>46080</v>
      </c>
      <c r="AT315" s="2">
        <v>17887.96</v>
      </c>
      <c r="AU315" s="2">
        <v>46080</v>
      </c>
      <c r="AV315" s="2">
        <v>14063.8</v>
      </c>
      <c r="BC315" s="1">
        <v>46080</v>
      </c>
      <c r="BD315" s="2">
        <v>0.79</v>
      </c>
      <c r="BE315" s="1">
        <v>46080</v>
      </c>
      <c r="BF315" s="2">
        <v>43.594000000000001</v>
      </c>
      <c r="BG315" s="2">
        <v>46080</v>
      </c>
      <c r="BH315" s="2">
        <v>27.088999999999999</v>
      </c>
      <c r="BI315" s="1">
        <v>46080</v>
      </c>
      <c r="BJ315" s="2">
        <v>110.718</v>
      </c>
      <c r="BK315" s="1">
        <v>46080</v>
      </c>
      <c r="BL315" s="2">
        <v>938.04880000000003</v>
      </c>
      <c r="BM315" s="1"/>
      <c r="BO31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4E789-D3DA-4ED9-B092-8179A7EAF2C3}">
  <sheetPr codeName="Sheet2"/>
  <dimension ref="A1:E35"/>
  <sheetViews>
    <sheetView topLeftCell="A7" workbookViewId="0">
      <selection activeCell="B40" sqref="B40"/>
    </sheetView>
  </sheetViews>
  <sheetFormatPr defaultRowHeight="15" x14ac:dyDescent="0.25"/>
  <cols>
    <col min="1" max="1" width="43.5703125" bestFit="1" customWidth="1"/>
    <col min="2" max="2" width="15.28515625" bestFit="1" customWidth="1"/>
    <col min="3" max="4" width="29" bestFit="1" customWidth="1"/>
    <col min="5" max="5" width="9" bestFit="1" customWidth="1"/>
  </cols>
  <sheetData>
    <row r="1" spans="1:5" x14ac:dyDescent="0.25">
      <c r="A1" t="s">
        <v>6</v>
      </c>
      <c r="B1" t="s">
        <v>0</v>
      </c>
      <c r="C1" t="s">
        <v>2</v>
      </c>
      <c r="D1" t="s">
        <v>3</v>
      </c>
      <c r="E1" t="s">
        <v>4</v>
      </c>
    </row>
    <row r="2" spans="1:5" x14ac:dyDescent="0.25">
      <c r="A2" t="s">
        <v>1</v>
      </c>
      <c r="B2" t="s">
        <v>5</v>
      </c>
      <c r="C2" t="str">
        <f>_xll.BDP($B2, $C$1)</f>
        <v>NEIXCTAT</v>
      </c>
      <c r="D2" t="str">
        <f>_xll.BDP($B2, $D$1)</f>
        <v>NEIXCTAT</v>
      </c>
      <c r="E2" t="str">
        <f>_xll.BDP($B2, $E$1)</f>
        <v>USD</v>
      </c>
    </row>
    <row r="3" spans="1:5" x14ac:dyDescent="0.25">
      <c r="A3" t="s">
        <v>14</v>
      </c>
      <c r="B3" t="s">
        <v>11</v>
      </c>
      <c r="C3" t="str">
        <f>_xll.BDP($B3, $C$1)</f>
        <v>BBG FX Carry ER</v>
      </c>
      <c r="D3" t="str">
        <f>_xll.BDP($B3, $D$1)</f>
        <v>BSLFXC</v>
      </c>
      <c r="E3" t="str">
        <f>_xll.BDP($B3, $E$1)</f>
        <v>USD</v>
      </c>
    </row>
    <row r="4" spans="1:5" x14ac:dyDescent="0.25">
      <c r="A4" t="s">
        <v>7</v>
      </c>
      <c r="B4" t="s">
        <v>9</v>
      </c>
      <c r="C4" t="str">
        <f>_xll.BDP($B4, $C$1)</f>
        <v>Bloomberg Cumulative FX Carry</v>
      </c>
      <c r="D4" t="str">
        <f>_xll.BDP($B4, $D$1)</f>
        <v>Bloomberg Cumulative FX Carry</v>
      </c>
      <c r="E4" t="str">
        <f>_xll.BDP($B4, $E$1)</f>
        <v>#N/A N/A</v>
      </c>
    </row>
    <row r="5" spans="1:5" x14ac:dyDescent="0.25">
      <c r="A5" t="s">
        <v>8</v>
      </c>
      <c r="B5" t="s">
        <v>10</v>
      </c>
      <c r="C5" t="str">
        <f>_xll.BDP($B5, $C$1)</f>
        <v>Bloomberg Cumulative FX Carry</v>
      </c>
      <c r="D5" t="str">
        <f>_xll.BDP($B5, $D$1)</f>
        <v>Bloomberg Cumulative FX Carry</v>
      </c>
      <c r="E5" t="str">
        <f>_xll.BDP($B5, $E$1)</f>
        <v>#N/A N/A</v>
      </c>
    </row>
    <row r="6" spans="1:5" x14ac:dyDescent="0.25">
      <c r="A6" t="s">
        <v>16</v>
      </c>
      <c r="B6" t="s">
        <v>15</v>
      </c>
      <c r="C6" t="str">
        <f>_xll.BDP($B6, $C$1)</f>
        <v>BBG Cross Asset Trend ER</v>
      </c>
      <c r="D6" t="str">
        <f>_xll.BDP($B6, $D$1)</f>
        <v>BSLXAT</v>
      </c>
      <c r="E6" t="str">
        <f>_xll.BDP($B6, $E$1)</f>
        <v>USD</v>
      </c>
    </row>
    <row r="7" spans="1:5" x14ac:dyDescent="0.25">
      <c r="A7" t="s">
        <v>21</v>
      </c>
      <c r="B7" t="s">
        <v>17</v>
      </c>
      <c r="C7" t="str">
        <f>_xll.BDP($B7, $C$1)</f>
        <v>BBG Equity Trend ER</v>
      </c>
      <c r="D7" t="str">
        <f>_xll.BDP($B7, $D$1)</f>
        <v>BSLEQT</v>
      </c>
      <c r="E7" t="str">
        <f>_xll.BDP($B7, $E$1)</f>
        <v>USD</v>
      </c>
    </row>
    <row r="8" spans="1:5" x14ac:dyDescent="0.25">
      <c r="A8" t="s">
        <v>22</v>
      </c>
      <c r="B8" t="s">
        <v>20</v>
      </c>
      <c r="C8" t="str">
        <f>_xll.BDP($B8, $C$1)</f>
        <v>BBG Bond Trend ER</v>
      </c>
      <c r="D8" t="str">
        <f>_xll.BDP($B8, $D$1)</f>
        <v>BSLBFT</v>
      </c>
      <c r="E8" t="str">
        <f>_xll.BDP($B8, $E$1)</f>
        <v>USD</v>
      </c>
    </row>
    <row r="9" spans="1:5" x14ac:dyDescent="0.25">
      <c r="A9" t="s">
        <v>23</v>
      </c>
      <c r="B9" t="s">
        <v>18</v>
      </c>
      <c r="C9" t="str">
        <f>_xll.BDP($B9, $C$1)</f>
        <v>BBG Commodity Trend ER</v>
      </c>
      <c r="D9" t="str">
        <f>_xll.BDP($B9, $D$1)</f>
        <v>BSLCMT</v>
      </c>
      <c r="E9" t="str">
        <f>_xll.BDP($B9, $E$1)</f>
        <v>USD</v>
      </c>
    </row>
    <row r="10" spans="1:5" x14ac:dyDescent="0.25">
      <c r="A10" t="s">
        <v>24</v>
      </c>
      <c r="B10" t="s">
        <v>19</v>
      </c>
      <c r="C10" t="str">
        <f>_xll.BDP($B10, $C$1)</f>
        <v>BBG FX Trend ER</v>
      </c>
      <c r="D10" t="str">
        <f>_xll.BDP($B10, $D$1)</f>
        <v>BSLFXT</v>
      </c>
      <c r="E10" t="str">
        <f>_xll.BDP($B10, $E$1)</f>
        <v>USD</v>
      </c>
    </row>
    <row r="11" spans="1:5" x14ac:dyDescent="0.25">
      <c r="A11" t="s">
        <v>13</v>
      </c>
      <c r="B11" t="s">
        <v>12</v>
      </c>
      <c r="C11" t="str">
        <f>_xll.BDP($B11, $C$1)</f>
        <v>Global Aggregate</v>
      </c>
      <c r="D11" t="str">
        <f>_xll.BDP($B11, $D$1)</f>
        <v>LEGATRUH</v>
      </c>
      <c r="E11" t="str">
        <f>_xll.BDP($B11, $E$1)</f>
        <v>USD</v>
      </c>
    </row>
    <row r="12" spans="1:5" x14ac:dyDescent="0.25">
      <c r="A12" t="s">
        <v>26</v>
      </c>
      <c r="B12" t="s">
        <v>25</v>
      </c>
      <c r="C12" t="str">
        <f>_xll.BDP($B12, $C$1)</f>
        <v>Global Inflation-Linked</v>
      </c>
      <c r="D12" t="str">
        <f>_xll.BDP($B12, $D$1)</f>
        <v>LF94TRUU</v>
      </c>
      <c r="E12" t="str">
        <f>_xll.BDP($B12, $E$1)</f>
        <v>USD</v>
      </c>
    </row>
    <row r="13" spans="1:5" x14ac:dyDescent="0.25">
      <c r="A13" t="s">
        <v>57</v>
      </c>
      <c r="B13" t="s">
        <v>56</v>
      </c>
      <c r="C13" t="str">
        <f>_xll.BDP($B13, $C$1)</f>
        <v>U.S. MBS</v>
      </c>
      <c r="D13" t="str">
        <f>_xll.BDP($B13, $D$1)</f>
        <v>LUMSTRUU</v>
      </c>
      <c r="E13" t="str">
        <f>_xll.BDP($B13, $E$1)</f>
        <v>USD</v>
      </c>
    </row>
    <row r="14" spans="1:5" x14ac:dyDescent="0.25">
      <c r="A14" t="s">
        <v>28</v>
      </c>
      <c r="B14" t="s">
        <v>27</v>
      </c>
      <c r="C14" t="str">
        <f>_xll.BDP($B14, $C$1)</f>
        <v>Market Matrix US Sell 2 Year &amp;</v>
      </c>
      <c r="D14" t="str">
        <f>_xll.BDP($B14, $D$1)</f>
        <v>Market Matrix US Sell 2 Year &amp;</v>
      </c>
      <c r="E14" t="str">
        <f>_xll.BDP($B14, $E$1)</f>
        <v>USD</v>
      </c>
    </row>
    <row r="15" spans="1:5" x14ac:dyDescent="0.25">
      <c r="A15" t="s">
        <v>30</v>
      </c>
      <c r="B15" t="s">
        <v>29</v>
      </c>
      <c r="C15" t="str">
        <f>_xll.BDP($B15, $C$1)</f>
        <v>BERY Total Return</v>
      </c>
      <c r="D15" t="str">
        <f>_xll.BDP($B15, $D$1)</f>
        <v>BERYTR</v>
      </c>
      <c r="E15" t="str">
        <f>_xll.BDP($B15, $E$1)</f>
        <v>USD</v>
      </c>
    </row>
    <row r="16" spans="1:5" x14ac:dyDescent="0.25">
      <c r="A16" t="s">
        <v>30</v>
      </c>
      <c r="B16" t="s">
        <v>31</v>
      </c>
      <c r="C16" t="str">
        <f>_xll.BDP($B16, $C$1)</f>
        <v>BBG Roll Select Cmdty</v>
      </c>
      <c r="D16" t="str">
        <f>_xll.BDP($B16, $D$1)</f>
        <v>BCOMRS</v>
      </c>
      <c r="E16" t="str">
        <f>_xll.BDP($B16, $E$1)</f>
        <v>USD</v>
      </c>
    </row>
    <row r="17" spans="1:5" x14ac:dyDescent="0.25">
      <c r="A17" t="s">
        <v>34</v>
      </c>
      <c r="B17" t="s">
        <v>35</v>
      </c>
      <c r="C17" t="str">
        <f>_xll.BDP($B17, $C$1)</f>
        <v>BERY AggLiv TR</v>
      </c>
      <c r="D17" t="str">
        <f>_xll.BDP($B17, $D$1)</f>
        <v>BERYALT</v>
      </c>
      <c r="E17" t="str">
        <f>_xll.BDP($B17, $E$1)</f>
        <v>USD</v>
      </c>
    </row>
    <row r="18" spans="1:5" x14ac:dyDescent="0.25">
      <c r="A18" t="s">
        <v>32</v>
      </c>
      <c r="B18" t="s">
        <v>36</v>
      </c>
      <c r="C18" t="str">
        <f>_xll.BDP($B18, $C$1)</f>
        <v>BERY Energy TR</v>
      </c>
      <c r="D18" t="str">
        <f>_xll.BDP($B18, $D$1)</f>
        <v>BERYENT</v>
      </c>
      <c r="E18" t="str">
        <f>_xll.BDP($B18, $E$1)</f>
        <v>USD</v>
      </c>
    </row>
    <row r="19" spans="1:5" x14ac:dyDescent="0.25">
      <c r="A19" t="s">
        <v>33</v>
      </c>
      <c r="B19" t="s">
        <v>37</v>
      </c>
      <c r="C19" t="str">
        <f>_xll.BDP($B19, $C$1)</f>
        <v>BERY PM TR</v>
      </c>
      <c r="D19" t="str">
        <f>_xll.BDP($B19, $D$1)</f>
        <v>BERYPRT</v>
      </c>
      <c r="E19" t="str">
        <f>_xll.BDP($B19, $E$1)</f>
        <v>USD</v>
      </c>
    </row>
    <row r="20" spans="1:5" x14ac:dyDescent="0.25">
      <c r="A20" t="s">
        <v>38</v>
      </c>
      <c r="B20" t="s">
        <v>39</v>
      </c>
      <c r="C20" t="str">
        <f>_xll.BDP($B20, $C$1)</f>
        <v>MSCI WORLD NR</v>
      </c>
      <c r="D20" t="str">
        <f>_xll.BDP($B20, $D$1)</f>
        <v>M1WO</v>
      </c>
      <c r="E20" t="str">
        <f>_xll.BDP($B20, $E$1)</f>
        <v>USD</v>
      </c>
    </row>
    <row r="21" spans="1:5" x14ac:dyDescent="0.25">
      <c r="A21" t="s">
        <v>43</v>
      </c>
      <c r="B21" t="s">
        <v>40</v>
      </c>
      <c r="C21" t="str">
        <f>_xll.BDP($B21, $C$1)</f>
        <v>MSCI World Quality Net $</v>
      </c>
      <c r="D21" t="str">
        <f>_xll.BDP($B21, $D$1)</f>
        <v>M1WOQU</v>
      </c>
      <c r="E21" t="str">
        <f>_xll.BDP($B21, $E$1)</f>
        <v>USD</v>
      </c>
    </row>
    <row r="22" spans="1:5" x14ac:dyDescent="0.25">
      <c r="A22" t="s">
        <v>44</v>
      </c>
      <c r="B22" t="s">
        <v>41</v>
      </c>
      <c r="C22" t="str">
        <f>_xll.BDP($B22, $C$1)</f>
        <v>MSCI WORLD Min Vol NR</v>
      </c>
      <c r="D22" t="str">
        <f>_xll.BDP($B22, $D$1)</f>
        <v>M1WOMVOL</v>
      </c>
      <c r="E22" t="str">
        <f>_xll.BDP($B22, $E$1)</f>
        <v>USD</v>
      </c>
    </row>
    <row r="23" spans="1:5" x14ac:dyDescent="0.25">
      <c r="A23" t="s">
        <v>45</v>
      </c>
      <c r="B23" t="s">
        <v>42</v>
      </c>
      <c r="C23" t="str">
        <f>_xll.BDP($B23, $C$1)</f>
        <v>MSCI World Momentum Net$</v>
      </c>
      <c r="D23" t="str">
        <f>_xll.BDP($B23, $D$1)</f>
        <v>M1WOMOM</v>
      </c>
      <c r="E23" t="str">
        <f>_xll.BDP($B23, $E$1)</f>
        <v>USD</v>
      </c>
    </row>
    <row r="24" spans="1:5" x14ac:dyDescent="0.25">
      <c r="A24" t="s">
        <v>46</v>
      </c>
      <c r="B24" t="s">
        <v>47</v>
      </c>
      <c r="C24" t="str">
        <f>_xll.BDP($B24, $C$1)</f>
        <v>MSCI WORLD VALUE NR</v>
      </c>
      <c r="D24" t="str">
        <f>_xll.BDP($B24, $D$1)</f>
        <v>M1WO000V</v>
      </c>
      <c r="E24" t="str">
        <f>_xll.BDP($B24, $E$1)</f>
        <v>USD</v>
      </c>
    </row>
    <row r="25" spans="1:5" x14ac:dyDescent="0.25">
      <c r="A25" t="s">
        <v>49</v>
      </c>
      <c r="B25" t="s">
        <v>48</v>
      </c>
      <c r="C25" t="str">
        <f>_xll.BDP($B25, $C$1)</f>
        <v>MSCI WORLD GROWTH NR</v>
      </c>
      <c r="D25" t="str">
        <f>_xll.BDP($B25, $D$1)</f>
        <v>M1WO000G</v>
      </c>
      <c r="E25" t="str">
        <f>_xll.BDP($B25, $E$1)</f>
        <v>USD</v>
      </c>
    </row>
    <row r="26" spans="1:5" x14ac:dyDescent="0.25">
      <c r="A26" t="s">
        <v>51</v>
      </c>
      <c r="B26" t="s">
        <v>50</v>
      </c>
      <c r="C26" t="str">
        <f>_xll.BDP($B26, $C$1)</f>
        <v>SPRKPARITY10TVTR</v>
      </c>
      <c r="D26" t="str">
        <f>_xll.BDP($B26, $D$1)</f>
        <v>SPRP10T</v>
      </c>
      <c r="E26" t="str">
        <f>_xll.BDP($B26, $E$1)</f>
        <v>USD</v>
      </c>
    </row>
    <row r="27" spans="1:5" x14ac:dyDescent="0.25">
      <c r="A27" t="s">
        <v>53</v>
      </c>
      <c r="B27" t="s">
        <v>52</v>
      </c>
      <c r="C27" t="str">
        <f>_xll.BDP($B27, $C$1)</f>
        <v>S&amp;P LISTED PRIV EQUITY</v>
      </c>
      <c r="D27" t="str">
        <f>_xll.BDP($B27, $D$1)</f>
        <v>SPLPEQTY</v>
      </c>
      <c r="E27" t="str">
        <f>_xll.BDP($B27, $E$1)</f>
        <v>USD</v>
      </c>
    </row>
    <row r="28" spans="1:5" x14ac:dyDescent="0.25">
      <c r="A28" t="s">
        <v>55</v>
      </c>
      <c r="B28" t="s">
        <v>54</v>
      </c>
      <c r="C28" t="str">
        <f>_xll.BDP($B28, $C$1)</f>
        <v>BBG Vol Arb</v>
      </c>
      <c r="D28" t="str">
        <f>_xll.BDP($B28, $D$1)</f>
        <v>BHVOLA</v>
      </c>
      <c r="E28" t="str">
        <f>_xll.BDP($B28, $E$1)</f>
        <v>USD</v>
      </c>
    </row>
    <row r="29" spans="1:5" x14ac:dyDescent="0.25">
      <c r="A29" t="s">
        <v>59</v>
      </c>
      <c r="B29" t="s">
        <v>58</v>
      </c>
      <c r="C29" t="str">
        <f>_xll.BDP($B29, $C$1)</f>
        <v>Bloomberg US Agg Credit Avg OA</v>
      </c>
      <c r="D29" t="str">
        <f>_xll.BDP($B29, $D$1)</f>
        <v>Bloomberg US Agg Credit Avg OA</v>
      </c>
      <c r="E29" t="str">
        <f>_xll.BDP($B29, $E$1)</f>
        <v>USD</v>
      </c>
    </row>
    <row r="30" spans="1:5" x14ac:dyDescent="0.25">
      <c r="A30" t="s">
        <v>28</v>
      </c>
      <c r="B30" t="s">
        <v>62</v>
      </c>
      <c r="C30" t="str">
        <f>_xll.BDP($B30, $C$1)</f>
        <v>Market Matrix US Sell 5 Year &amp;</v>
      </c>
      <c r="D30" t="str">
        <f>_xll.BDP($B30, $D$1)</f>
        <v>Market Matrix US Sell 5 Year &amp;</v>
      </c>
      <c r="E30" t="str">
        <f>_xll.BDP($B30, $E$1)</f>
        <v>USD</v>
      </c>
    </row>
    <row r="31" spans="1:5" x14ac:dyDescent="0.25">
      <c r="A31" t="s">
        <v>28</v>
      </c>
      <c r="B31" t="s">
        <v>61</v>
      </c>
      <c r="C31" t="str">
        <f>_xll.BDP($B31, $C$1)</f>
        <v>Market Matrix US Sell 3 Month</v>
      </c>
      <c r="D31" t="str">
        <f>_xll.BDP($B31, $D$1)</f>
        <v>Market Matrix US Sell 3 Month</v>
      </c>
      <c r="E31" t="str">
        <f>_xll.BDP($B31, $E$1)</f>
        <v>USD</v>
      </c>
    </row>
    <row r="32" spans="1:5" x14ac:dyDescent="0.25">
      <c r="A32" t="s">
        <v>28</v>
      </c>
      <c r="B32" t="s">
        <v>60</v>
      </c>
      <c r="C32" t="str">
        <f>_xll.BDP($B32, $C$1)</f>
        <v>Market Matrix US Sell 5 Year &amp;</v>
      </c>
      <c r="D32" t="str">
        <f>_xll.BDP($B32, $D$1)</f>
        <v>Market Matrix US Sell 5 Year &amp;</v>
      </c>
      <c r="E32" t="str">
        <f>_xll.BDP($B32, $E$1)</f>
        <v>USD</v>
      </c>
    </row>
    <row r="33" spans="1:5" x14ac:dyDescent="0.25">
      <c r="A33" t="s">
        <v>64</v>
      </c>
      <c r="B33" t="s">
        <v>63</v>
      </c>
      <c r="C33" t="str">
        <f>_xll.BDP($B33, $C$1)</f>
        <v>WGBI USD</v>
      </c>
      <c r="D33" t="str">
        <f>_xll.BDP($B33, $D$1)</f>
        <v>SBWGU</v>
      </c>
      <c r="E33" t="str">
        <f>_xll.BDP($B33, $E$1)</f>
        <v>USD</v>
      </c>
    </row>
    <row r="34" spans="1:5" x14ac:dyDescent="0.25">
      <c r="A34" t="s">
        <v>66</v>
      </c>
      <c r="B34" t="s">
        <v>65</v>
      </c>
      <c r="C34" t="str">
        <f>_xll.BDP($B34, $C$1)</f>
        <v>MXWOGVST</v>
      </c>
      <c r="D34" t="str">
        <f>_xll.BDP($B34, $D$1)</f>
        <v>MXWOGVST</v>
      </c>
      <c r="E34" t="str">
        <f>_xll.BDP($B34, $E$1)</f>
        <v>USD</v>
      </c>
    </row>
    <row r="35" spans="1:5" x14ac:dyDescent="0.25">
      <c r="A35" t="str">
        <f>_xll.BDP($B35, $C$1)</f>
        <v>Cboe CAPPED VIX PREMIUM</v>
      </c>
      <c r="B35" t="s">
        <v>67</v>
      </c>
      <c r="C35" t="str">
        <f>_xll.BDP($B35, $C$1)</f>
        <v>Cboe CAPPED VIX PREMIUM</v>
      </c>
      <c r="D35" t="str">
        <f>_xll.BDP($B35, $D$1)</f>
        <v>VPN</v>
      </c>
      <c r="E35" t="str">
        <f>_xll.BDP($B35, $E$1)</f>
        <v>USD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kcf1@connect.hku.hk</dc:creator>
  <cp:lastModifiedBy>kcf1@connect.hku.hk</cp:lastModifiedBy>
  <dcterms:created xsi:type="dcterms:W3CDTF">2026-03-02T09:05:53Z</dcterms:created>
  <dcterms:modified xsi:type="dcterms:W3CDTF">2026-03-03T09:29:21Z</dcterms:modified>
</cp:coreProperties>
</file>